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d3bc9359ea40864/Documents/job/Projects/Inventory_Management/"/>
    </mc:Choice>
  </mc:AlternateContent>
  <xr:revisionPtr revIDLastSave="593" documentId="11_38F9D6ECDCFBE52FCAAFA92408AD16CAB1BDBB3E" xr6:coauthVersionLast="47" xr6:coauthVersionMax="47" xr10:uidLastSave="{040D8576-8F28-4489-9BD2-C1D7366016FF}"/>
  <bookViews>
    <workbookView xWindow="2124" yWindow="636" windowWidth="20916" windowHeight="10932" tabRatio="751" xr2:uid="{00000000-000D-0000-FFFF-FFFF00000000}"/>
  </bookViews>
  <sheets>
    <sheet name="Instructions" sheetId="9" r:id="rId1"/>
    <sheet name="Dashboard" sheetId="8" r:id="rId2"/>
    <sheet name="Products" sheetId="3" r:id="rId3"/>
    <sheet name="Transactions" sheetId="4" r:id="rId4"/>
    <sheet name="Purchase Orders" sheetId="5" r:id="rId5"/>
    <sheet name="Inventory Count" sheetId="7" r:id="rId6"/>
    <sheet name="Lists" sheetId="1" r:id="rId7"/>
    <sheet name="Suppliers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7" l="1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0" i="7"/>
  <c r="D9" i="7"/>
  <c r="D8" i="7"/>
  <c r="D7" i="7"/>
  <c r="D6" i="7"/>
  <c r="D5" i="7"/>
  <c r="D4" i="7"/>
  <c r="D11" i="7"/>
  <c r="K12" i="3"/>
  <c r="M103" i="3" l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D5" i="8" l="1"/>
  <c r="C103" i="7" l="1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1" i="3"/>
  <c r="K10" i="3"/>
  <c r="K9" i="3"/>
  <c r="K8" i="3"/>
  <c r="K7" i="3"/>
  <c r="K6" i="3"/>
  <c r="K5" i="3"/>
  <c r="K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M10" i="3" s="1"/>
  <c r="J9" i="3"/>
  <c r="M9" i="3" s="1"/>
  <c r="J8" i="3"/>
  <c r="J7" i="3"/>
  <c r="J6" i="3"/>
  <c r="J5" i="3"/>
  <c r="J4" i="3"/>
  <c r="M4" i="3" s="1"/>
  <c r="F23" i="8"/>
  <c r="E23" i="8"/>
  <c r="D23" i="8"/>
  <c r="B23" i="8"/>
  <c r="A23" i="8"/>
  <c r="F22" i="8"/>
  <c r="E22" i="8"/>
  <c r="D22" i="8"/>
  <c r="B22" i="8"/>
  <c r="A22" i="8"/>
  <c r="F21" i="8"/>
  <c r="E21" i="8"/>
  <c r="D21" i="8"/>
  <c r="B21" i="8"/>
  <c r="A21" i="8"/>
  <c r="F20" i="8"/>
  <c r="E20" i="8"/>
  <c r="D20" i="8"/>
  <c r="B20" i="8"/>
  <c r="A20" i="8"/>
  <c r="F19" i="8"/>
  <c r="E19" i="8"/>
  <c r="D19" i="8"/>
  <c r="B19" i="8"/>
  <c r="A19" i="8"/>
  <c r="F18" i="8"/>
  <c r="E18" i="8"/>
  <c r="D18" i="8"/>
  <c r="B18" i="8"/>
  <c r="A18" i="8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K203" i="5"/>
  <c r="E203" i="5"/>
  <c r="K202" i="5"/>
  <c r="E202" i="5"/>
  <c r="K201" i="5"/>
  <c r="E201" i="5"/>
  <c r="K200" i="5"/>
  <c r="E200" i="5"/>
  <c r="K199" i="5"/>
  <c r="E199" i="5"/>
  <c r="K198" i="5"/>
  <c r="E198" i="5"/>
  <c r="K197" i="5"/>
  <c r="E197" i="5"/>
  <c r="K196" i="5"/>
  <c r="E196" i="5"/>
  <c r="K195" i="5"/>
  <c r="E195" i="5"/>
  <c r="K194" i="5"/>
  <c r="E194" i="5"/>
  <c r="K193" i="5"/>
  <c r="E193" i="5"/>
  <c r="K192" i="5"/>
  <c r="E192" i="5"/>
  <c r="K191" i="5"/>
  <c r="E191" i="5"/>
  <c r="K190" i="5"/>
  <c r="E190" i="5"/>
  <c r="K189" i="5"/>
  <c r="E189" i="5"/>
  <c r="K188" i="5"/>
  <c r="E188" i="5"/>
  <c r="K187" i="5"/>
  <c r="E187" i="5"/>
  <c r="K186" i="5"/>
  <c r="E186" i="5"/>
  <c r="K185" i="5"/>
  <c r="E185" i="5"/>
  <c r="K184" i="5"/>
  <c r="E184" i="5"/>
  <c r="K183" i="5"/>
  <c r="E183" i="5"/>
  <c r="K182" i="5"/>
  <c r="E182" i="5"/>
  <c r="K181" i="5"/>
  <c r="E181" i="5"/>
  <c r="K180" i="5"/>
  <c r="E180" i="5"/>
  <c r="K179" i="5"/>
  <c r="E179" i="5"/>
  <c r="K178" i="5"/>
  <c r="E178" i="5"/>
  <c r="K177" i="5"/>
  <c r="E177" i="5"/>
  <c r="K176" i="5"/>
  <c r="E176" i="5"/>
  <c r="K175" i="5"/>
  <c r="E175" i="5"/>
  <c r="K174" i="5"/>
  <c r="E174" i="5"/>
  <c r="K173" i="5"/>
  <c r="E173" i="5"/>
  <c r="K172" i="5"/>
  <c r="E172" i="5"/>
  <c r="K171" i="5"/>
  <c r="E171" i="5"/>
  <c r="K170" i="5"/>
  <c r="E170" i="5"/>
  <c r="K169" i="5"/>
  <c r="E169" i="5"/>
  <c r="K168" i="5"/>
  <c r="E168" i="5"/>
  <c r="K167" i="5"/>
  <c r="E167" i="5"/>
  <c r="K166" i="5"/>
  <c r="E166" i="5"/>
  <c r="K165" i="5"/>
  <c r="E165" i="5"/>
  <c r="K164" i="5"/>
  <c r="E164" i="5"/>
  <c r="K163" i="5"/>
  <c r="E163" i="5"/>
  <c r="K162" i="5"/>
  <c r="E162" i="5"/>
  <c r="K161" i="5"/>
  <c r="E161" i="5"/>
  <c r="K160" i="5"/>
  <c r="E160" i="5"/>
  <c r="K159" i="5"/>
  <c r="E159" i="5"/>
  <c r="K158" i="5"/>
  <c r="E158" i="5"/>
  <c r="K157" i="5"/>
  <c r="E157" i="5"/>
  <c r="K156" i="5"/>
  <c r="E156" i="5"/>
  <c r="K155" i="5"/>
  <c r="E155" i="5"/>
  <c r="K154" i="5"/>
  <c r="E154" i="5"/>
  <c r="K153" i="5"/>
  <c r="E153" i="5"/>
  <c r="K152" i="5"/>
  <c r="E152" i="5"/>
  <c r="K151" i="5"/>
  <c r="E151" i="5"/>
  <c r="K150" i="5"/>
  <c r="E150" i="5"/>
  <c r="K149" i="5"/>
  <c r="E149" i="5"/>
  <c r="K148" i="5"/>
  <c r="E148" i="5"/>
  <c r="K147" i="5"/>
  <c r="E147" i="5"/>
  <c r="K146" i="5"/>
  <c r="E146" i="5"/>
  <c r="K145" i="5"/>
  <c r="E145" i="5"/>
  <c r="K144" i="5"/>
  <c r="E144" i="5"/>
  <c r="K143" i="5"/>
  <c r="E143" i="5"/>
  <c r="K142" i="5"/>
  <c r="E142" i="5"/>
  <c r="K141" i="5"/>
  <c r="E141" i="5"/>
  <c r="K140" i="5"/>
  <c r="E140" i="5"/>
  <c r="K139" i="5"/>
  <c r="E139" i="5"/>
  <c r="K138" i="5"/>
  <c r="E138" i="5"/>
  <c r="K137" i="5"/>
  <c r="E137" i="5"/>
  <c r="K136" i="5"/>
  <c r="E136" i="5"/>
  <c r="K135" i="5"/>
  <c r="E135" i="5"/>
  <c r="K134" i="5"/>
  <c r="E134" i="5"/>
  <c r="K133" i="5"/>
  <c r="E133" i="5"/>
  <c r="K132" i="5"/>
  <c r="E132" i="5"/>
  <c r="K131" i="5"/>
  <c r="E131" i="5"/>
  <c r="K130" i="5"/>
  <c r="E130" i="5"/>
  <c r="K129" i="5"/>
  <c r="E129" i="5"/>
  <c r="K128" i="5"/>
  <c r="E128" i="5"/>
  <c r="K127" i="5"/>
  <c r="E127" i="5"/>
  <c r="K126" i="5"/>
  <c r="E126" i="5"/>
  <c r="K125" i="5"/>
  <c r="E125" i="5"/>
  <c r="K124" i="5"/>
  <c r="E124" i="5"/>
  <c r="K123" i="5"/>
  <c r="E123" i="5"/>
  <c r="K122" i="5"/>
  <c r="E122" i="5"/>
  <c r="K121" i="5"/>
  <c r="E121" i="5"/>
  <c r="K120" i="5"/>
  <c r="E120" i="5"/>
  <c r="K119" i="5"/>
  <c r="E119" i="5"/>
  <c r="K118" i="5"/>
  <c r="E118" i="5"/>
  <c r="K117" i="5"/>
  <c r="E117" i="5"/>
  <c r="K116" i="5"/>
  <c r="E116" i="5"/>
  <c r="K115" i="5"/>
  <c r="E115" i="5"/>
  <c r="K114" i="5"/>
  <c r="E114" i="5"/>
  <c r="K113" i="5"/>
  <c r="E113" i="5"/>
  <c r="K112" i="5"/>
  <c r="E112" i="5"/>
  <c r="K111" i="5"/>
  <c r="E111" i="5"/>
  <c r="K110" i="5"/>
  <c r="E110" i="5"/>
  <c r="K109" i="5"/>
  <c r="E109" i="5"/>
  <c r="K108" i="5"/>
  <c r="E108" i="5"/>
  <c r="K107" i="5"/>
  <c r="E107" i="5"/>
  <c r="K106" i="5"/>
  <c r="E106" i="5"/>
  <c r="K105" i="5"/>
  <c r="E105" i="5"/>
  <c r="K104" i="5"/>
  <c r="E104" i="5"/>
  <c r="K103" i="5"/>
  <c r="E103" i="5"/>
  <c r="K102" i="5"/>
  <c r="E102" i="5"/>
  <c r="K101" i="5"/>
  <c r="E101" i="5"/>
  <c r="K100" i="5"/>
  <c r="E100" i="5"/>
  <c r="K99" i="5"/>
  <c r="E99" i="5"/>
  <c r="K98" i="5"/>
  <c r="E98" i="5"/>
  <c r="K97" i="5"/>
  <c r="E97" i="5"/>
  <c r="K96" i="5"/>
  <c r="E96" i="5"/>
  <c r="K95" i="5"/>
  <c r="E95" i="5"/>
  <c r="K94" i="5"/>
  <c r="E94" i="5"/>
  <c r="K93" i="5"/>
  <c r="E93" i="5"/>
  <c r="K92" i="5"/>
  <c r="E92" i="5"/>
  <c r="K91" i="5"/>
  <c r="E91" i="5"/>
  <c r="K90" i="5"/>
  <c r="E90" i="5"/>
  <c r="K89" i="5"/>
  <c r="E89" i="5"/>
  <c r="K88" i="5"/>
  <c r="E88" i="5"/>
  <c r="K87" i="5"/>
  <c r="E87" i="5"/>
  <c r="K86" i="5"/>
  <c r="E86" i="5"/>
  <c r="K85" i="5"/>
  <c r="E85" i="5"/>
  <c r="K84" i="5"/>
  <c r="E84" i="5"/>
  <c r="K83" i="5"/>
  <c r="E83" i="5"/>
  <c r="K82" i="5"/>
  <c r="E82" i="5"/>
  <c r="K81" i="5"/>
  <c r="E81" i="5"/>
  <c r="K80" i="5"/>
  <c r="E80" i="5"/>
  <c r="K79" i="5"/>
  <c r="E79" i="5"/>
  <c r="K78" i="5"/>
  <c r="E78" i="5"/>
  <c r="K77" i="5"/>
  <c r="E77" i="5"/>
  <c r="K76" i="5"/>
  <c r="E76" i="5"/>
  <c r="K75" i="5"/>
  <c r="E75" i="5"/>
  <c r="K74" i="5"/>
  <c r="E74" i="5"/>
  <c r="K73" i="5"/>
  <c r="E73" i="5"/>
  <c r="K72" i="5"/>
  <c r="E72" i="5"/>
  <c r="K71" i="5"/>
  <c r="E71" i="5"/>
  <c r="K70" i="5"/>
  <c r="E70" i="5"/>
  <c r="K69" i="5"/>
  <c r="E69" i="5"/>
  <c r="K68" i="5"/>
  <c r="E68" i="5"/>
  <c r="K67" i="5"/>
  <c r="E67" i="5"/>
  <c r="K66" i="5"/>
  <c r="E66" i="5"/>
  <c r="K65" i="5"/>
  <c r="E65" i="5"/>
  <c r="K64" i="5"/>
  <c r="E64" i="5"/>
  <c r="K63" i="5"/>
  <c r="E63" i="5"/>
  <c r="K62" i="5"/>
  <c r="E62" i="5"/>
  <c r="K61" i="5"/>
  <c r="E61" i="5"/>
  <c r="K60" i="5"/>
  <c r="E60" i="5"/>
  <c r="K59" i="5"/>
  <c r="E59" i="5"/>
  <c r="K58" i="5"/>
  <c r="E58" i="5"/>
  <c r="K57" i="5"/>
  <c r="E57" i="5"/>
  <c r="K56" i="5"/>
  <c r="E56" i="5"/>
  <c r="K55" i="5"/>
  <c r="E55" i="5"/>
  <c r="K54" i="5"/>
  <c r="E54" i="5"/>
  <c r="K53" i="5"/>
  <c r="E53" i="5"/>
  <c r="K52" i="5"/>
  <c r="E52" i="5"/>
  <c r="K51" i="5"/>
  <c r="E51" i="5"/>
  <c r="K50" i="5"/>
  <c r="E50" i="5"/>
  <c r="K49" i="5"/>
  <c r="E49" i="5"/>
  <c r="K48" i="5"/>
  <c r="E48" i="5"/>
  <c r="K47" i="5"/>
  <c r="E47" i="5"/>
  <c r="K46" i="5"/>
  <c r="E46" i="5"/>
  <c r="K45" i="5"/>
  <c r="E45" i="5"/>
  <c r="K44" i="5"/>
  <c r="E44" i="5"/>
  <c r="K43" i="5"/>
  <c r="E43" i="5"/>
  <c r="K42" i="5"/>
  <c r="E42" i="5"/>
  <c r="K41" i="5"/>
  <c r="E41" i="5"/>
  <c r="K40" i="5"/>
  <c r="E40" i="5"/>
  <c r="K39" i="5"/>
  <c r="E39" i="5"/>
  <c r="K38" i="5"/>
  <c r="E38" i="5"/>
  <c r="K37" i="5"/>
  <c r="E37" i="5"/>
  <c r="K36" i="5"/>
  <c r="E36" i="5"/>
  <c r="K35" i="5"/>
  <c r="E35" i="5"/>
  <c r="K34" i="5"/>
  <c r="E34" i="5"/>
  <c r="K33" i="5"/>
  <c r="E33" i="5"/>
  <c r="K32" i="5"/>
  <c r="E32" i="5"/>
  <c r="K31" i="5"/>
  <c r="E31" i="5"/>
  <c r="K30" i="5"/>
  <c r="E30" i="5"/>
  <c r="K29" i="5"/>
  <c r="E29" i="5"/>
  <c r="K28" i="5"/>
  <c r="E28" i="5"/>
  <c r="K27" i="5"/>
  <c r="E27" i="5"/>
  <c r="K26" i="5"/>
  <c r="E26" i="5"/>
  <c r="K25" i="5"/>
  <c r="E25" i="5"/>
  <c r="K24" i="5"/>
  <c r="E24" i="5"/>
  <c r="K23" i="5"/>
  <c r="E23" i="5"/>
  <c r="K22" i="5"/>
  <c r="E22" i="5"/>
  <c r="K21" i="5"/>
  <c r="E21" i="5"/>
  <c r="K20" i="5"/>
  <c r="E20" i="5"/>
  <c r="K19" i="5"/>
  <c r="E19" i="5"/>
  <c r="K18" i="5"/>
  <c r="E18" i="5"/>
  <c r="K17" i="5"/>
  <c r="E17" i="5"/>
  <c r="K16" i="5"/>
  <c r="E16" i="5"/>
  <c r="K15" i="5"/>
  <c r="E15" i="5"/>
  <c r="K14" i="5"/>
  <c r="E14" i="5"/>
  <c r="K13" i="5"/>
  <c r="E13" i="5"/>
  <c r="K12" i="5"/>
  <c r="E12" i="5"/>
  <c r="K11" i="5"/>
  <c r="E11" i="5"/>
  <c r="K10" i="5"/>
  <c r="E10" i="5"/>
  <c r="K9" i="5"/>
  <c r="E9" i="5"/>
  <c r="K8" i="5"/>
  <c r="E8" i="5"/>
  <c r="K7" i="5"/>
  <c r="J5" i="8" s="1"/>
  <c r="E7" i="5"/>
  <c r="K6" i="5"/>
  <c r="E6" i="5"/>
  <c r="K5" i="5"/>
  <c r="E5" i="5"/>
  <c r="K4" i="5"/>
  <c r="E4" i="5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C23" i="8" s="1"/>
  <c r="D8" i="4"/>
  <c r="C22" i="8" s="1"/>
  <c r="D7" i="4"/>
  <c r="C21" i="8" s="1"/>
  <c r="D6" i="4"/>
  <c r="C20" i="8" s="1"/>
  <c r="D5" i="4"/>
  <c r="C19" i="8" s="1"/>
  <c r="D4" i="4"/>
  <c r="C18" i="8" s="1"/>
  <c r="M12" i="3" l="1"/>
  <c r="N12" i="3" s="1"/>
  <c r="M6" i="3"/>
  <c r="N6" i="3" s="1"/>
  <c r="M7" i="3"/>
  <c r="M8" i="3"/>
  <c r="N8" i="3" s="1"/>
  <c r="M11" i="3"/>
  <c r="M5" i="3"/>
  <c r="N5" i="3" s="1"/>
  <c r="N4" i="3"/>
  <c r="N10" i="3"/>
  <c r="N9" i="3"/>
  <c r="D12" i="7" l="1"/>
  <c r="B10" i="8" a="1"/>
  <c r="B10" i="8" s="1"/>
  <c r="N11" i="3"/>
  <c r="N7" i="3"/>
  <c r="G5" i="8" s="1"/>
  <c r="A5" i="8"/>
  <c r="B13" i="8"/>
  <c r="B11" i="8"/>
  <c r="B14" i="8"/>
  <c r="B12" i="8"/>
  <c r="E10" i="8" l="1"/>
  <c r="E1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<sst xmlns="http://schemas.openxmlformats.org/spreadsheetml/2006/main" count="306" uniqueCount="193">
  <si>
    <t>Reference Lists</t>
  </si>
  <si>
    <t>Categories</t>
  </si>
  <si>
    <t>Suppliers</t>
  </si>
  <si>
    <t>Transaction Types</t>
  </si>
  <si>
    <t>PO Status</t>
  </si>
  <si>
    <t>Units</t>
  </si>
  <si>
    <t>Locations</t>
  </si>
  <si>
    <t>Office Supplies</t>
  </si>
  <si>
    <t>Apex Office Supply</t>
  </si>
  <si>
    <t>Receipt</t>
  </si>
  <si>
    <t>Draft</t>
  </si>
  <si>
    <t>Each</t>
  </si>
  <si>
    <t>Main Warehouse</t>
  </si>
  <si>
    <t>IT Equipment</t>
  </si>
  <si>
    <t>NorthStar Tech</t>
  </si>
  <si>
    <t>Issue</t>
  </si>
  <si>
    <t>Ordered</t>
  </si>
  <si>
    <t>Box</t>
  </si>
  <si>
    <t>Front Office</t>
  </si>
  <si>
    <t>Janitorial</t>
  </si>
  <si>
    <t>Green Valley Supply</t>
  </si>
  <si>
    <t>Adjustment +</t>
  </si>
  <si>
    <t>Partially Received</t>
  </si>
  <si>
    <t>Case</t>
  </si>
  <si>
    <t>IT Storage</t>
  </si>
  <si>
    <t>Breakroom</t>
  </si>
  <si>
    <t>Blue Ridge Wholesale</t>
  </si>
  <si>
    <t>Adjustment -</t>
  </si>
  <si>
    <t>Received</t>
  </si>
  <si>
    <t>Pack</t>
  </si>
  <si>
    <t>Supply Closet</t>
  </si>
  <si>
    <t>Packaging</t>
  </si>
  <si>
    <t>Metro Packaging</t>
  </si>
  <si>
    <t>Cancelled</t>
  </si>
  <si>
    <t>Roll</t>
  </si>
  <si>
    <t>Supplier Master</t>
  </si>
  <si>
    <t>Supplier ID</t>
  </si>
  <si>
    <t>Supplier Name</t>
  </si>
  <si>
    <t>Contact</t>
  </si>
  <si>
    <t>Phone</t>
  </si>
  <si>
    <t>Email</t>
  </si>
  <si>
    <t>Terms</t>
  </si>
  <si>
    <t>Active</t>
  </si>
  <si>
    <t>Notes</t>
  </si>
  <si>
    <t>SUP001</t>
  </si>
  <si>
    <t>Mia Carter</t>
  </si>
  <si>
    <t>770-555-0181</t>
  </si>
  <si>
    <t>Net 30</t>
  </si>
  <si>
    <t>Yes</t>
  </si>
  <si>
    <t>Primary office supplier</t>
  </si>
  <si>
    <t>SUP002</t>
  </si>
  <si>
    <t>Daniel Lee</t>
  </si>
  <si>
    <t>404-555-0194</t>
  </si>
  <si>
    <t>Computers and peripherals</t>
  </si>
  <si>
    <t>SUP003</t>
  </si>
  <si>
    <t>Ava Brooks</t>
  </si>
  <si>
    <t>678-555-0152</t>
  </si>
  <si>
    <t>Net 15</t>
  </si>
  <si>
    <t>Janitorial supplies</t>
  </si>
  <si>
    <t>SUP004</t>
  </si>
  <si>
    <t>Noah Bennett</t>
  </si>
  <si>
    <t>706-555-0136</t>
  </si>
  <si>
    <t>General merchandise</t>
  </si>
  <si>
    <t>SUP005</t>
  </si>
  <si>
    <t>Olivia Reed</t>
  </si>
  <si>
    <t>470-555-0175</t>
  </si>
  <si>
    <t>Packaging materials</t>
  </si>
  <si>
    <t>Product Master &amp; Stock Status</t>
  </si>
  <si>
    <t>Item ID</t>
  </si>
  <si>
    <t>Item Name</t>
  </si>
  <si>
    <t>Category</t>
  </si>
  <si>
    <t>Supplier</t>
  </si>
  <si>
    <t>Unit</t>
  </si>
  <si>
    <t>Location</t>
  </si>
  <si>
    <t>Unit Cost</t>
  </si>
  <si>
    <t>Opening Qty</t>
  </si>
  <si>
    <t>Receipts</t>
  </si>
  <si>
    <t>Issues</t>
  </si>
  <si>
    <t>Adjustments</t>
  </si>
  <si>
    <t>Qty On Hand</t>
  </si>
  <si>
    <t>Reorder Point</t>
  </si>
  <si>
    <t>Status</t>
  </si>
  <si>
    <t>ITM1001</t>
  </si>
  <si>
    <t>Copy Paper, Letter</t>
  </si>
  <si>
    <t>ITM1002</t>
  </si>
  <si>
    <t>Blue Ballpoint Pens</t>
  </si>
  <si>
    <t>ITM1003</t>
  </si>
  <si>
    <t>USB Keyboard</t>
  </si>
  <si>
    <t>ITM1004</t>
  </si>
  <si>
    <t>Wireless Mouse</t>
  </si>
  <si>
    <t>ITM1005</t>
  </si>
  <si>
    <t>All-Purpose Cleaner</t>
  </si>
  <si>
    <t>ITM1006</t>
  </si>
  <si>
    <t>Paper Towels</t>
  </si>
  <si>
    <t>ITM1007</t>
  </si>
  <si>
    <t>Coffee Pods</t>
  </si>
  <si>
    <t>ITM1008</t>
  </si>
  <si>
    <t>Packing Tape</t>
  </si>
  <si>
    <t>Inventory Transactions</t>
  </si>
  <si>
    <t>Transaction ID</t>
  </si>
  <si>
    <t>Type</t>
  </si>
  <si>
    <t>Date</t>
  </si>
  <si>
    <t>Quantity</t>
  </si>
  <si>
    <t>Reference</t>
  </si>
  <si>
    <t>Entered By</t>
  </si>
  <si>
    <t>TXN0001</t>
  </si>
  <si>
    <t>PO-1001</t>
  </si>
  <si>
    <t>TXN0002</t>
  </si>
  <si>
    <t>REQ-2001</t>
  </si>
  <si>
    <t>TXN0003</t>
  </si>
  <si>
    <t>PO-1002</t>
  </si>
  <si>
    <t>TXN0004</t>
  </si>
  <si>
    <t>SHIP-3001</t>
  </si>
  <si>
    <t>TXN0005</t>
  </si>
  <si>
    <t>COUNT-01</t>
  </si>
  <si>
    <t>TXN0006</t>
  </si>
  <si>
    <t>REQ-2002</t>
  </si>
  <si>
    <t>Purchase Order Tracker</t>
  </si>
  <si>
    <t>PO Number</t>
  </si>
  <si>
    <t>Order Date</t>
  </si>
  <si>
    <t>Qty Ordered</t>
  </si>
  <si>
    <t>Extended Cost</t>
  </si>
  <si>
    <t>Expected Date</t>
  </si>
  <si>
    <t>Qty Received</t>
  </si>
  <si>
    <t>PO-1003</t>
  </si>
  <si>
    <t>System Qty</t>
  </si>
  <si>
    <t>Counted Qty</t>
  </si>
  <si>
    <t>Variance</t>
  </si>
  <si>
    <t>Count Date</t>
  </si>
  <si>
    <t>Initials</t>
  </si>
  <si>
    <t>Inventory Management Dashboard</t>
  </si>
  <si>
    <t>Inventory Value</t>
  </si>
  <si>
    <t>Count</t>
  </si>
  <si>
    <t>OK</t>
  </si>
  <si>
    <t>REORDER</t>
  </si>
  <si>
    <t>Recent Transaction</t>
  </si>
  <si>
    <t>Item</t>
  </si>
  <si>
    <t>Inventory Workbook Guide</t>
  </si>
  <si>
    <t>Sheet</t>
  </si>
  <si>
    <t>Purpose</t>
  </si>
  <si>
    <t>Primary Inputs</t>
  </si>
  <si>
    <t>Automated Outputs</t>
  </si>
  <si>
    <t>Portfolio Skill</t>
  </si>
  <si>
    <t>Dashboard</t>
  </si>
  <si>
    <t>Executive overview</t>
  </si>
  <si>
    <t>None</t>
  </si>
  <si>
    <t>KPIs and charts</t>
  </si>
  <si>
    <t>Dashboard design and reporting</t>
  </si>
  <si>
    <t>Products</t>
  </si>
  <si>
    <t>Product master and balances</t>
  </si>
  <si>
    <t>Product details and opening quantity</t>
  </si>
  <si>
    <t>Receipts, issues, on-hand quantity, reorder status</t>
  </si>
  <si>
    <t>Tables, formulas, validation</t>
  </si>
  <si>
    <t>Transactions</t>
  </si>
  <si>
    <t>Log stock movements</t>
  </si>
  <si>
    <t>Type, item, date, quantity, reference</t>
  </si>
  <si>
    <t>Item-name lookup and product balance updates</t>
  </si>
  <si>
    <t>Data entry controls and lookup formulas</t>
  </si>
  <si>
    <t>Purchase Orders</t>
  </si>
  <si>
    <t>Track replenishment</t>
  </si>
  <si>
    <t>Supplier, item, quantity, cost, dates, status</t>
  </si>
  <si>
    <t>Item lookup and extended cost</t>
  </si>
  <si>
    <t>Purchasing workflow</t>
  </si>
  <si>
    <t>Cycle Count</t>
  </si>
  <si>
    <t>Support physical counts</t>
  </si>
  <si>
    <t>Counted quantity, date, initials</t>
  </si>
  <si>
    <t>Inventory control</t>
  </si>
  <si>
    <t>Maintain supplier records</t>
  </si>
  <si>
    <t>Contact and terms</t>
  </si>
  <si>
    <t>Standardized supplier list</t>
  </si>
  <si>
    <t>Vendor data management</t>
  </si>
  <si>
    <t>How to Use</t>
  </si>
  <si>
    <t>orders@apexoffice.com</t>
  </si>
  <si>
    <t>sales@northstartech.com</t>
  </si>
  <si>
    <t>service@greenvalleysupply.com</t>
  </si>
  <si>
    <t>orders@blueridgewholesale.com</t>
  </si>
  <si>
    <t>support@metropackaging.com</t>
  </si>
  <si>
    <t xml:space="preserve"> </t>
  </si>
  <si>
    <t>FLastName</t>
  </si>
  <si>
    <t xml:space="preserve">Inventory Count </t>
  </si>
  <si>
    <t>Total Inventory Value</t>
  </si>
  <si>
    <t xml:space="preserve">4. Review the Dashboard </t>
  </si>
  <si>
    <t>1. Enter and track products on the Products sheet. Enter product details, opening quantity, and reorder point.</t>
  </si>
  <si>
    <t>2. Enter and track receipts, issues, and adjustments on the Transactions sheet. Product balances update automatically.</t>
  </si>
  <si>
    <t>3. Enter and track purchase orders and receiving status on the Purchase Orders sheet.</t>
  </si>
  <si>
    <t>6. Maintain reference data on Lists sheet.</t>
  </si>
  <si>
    <t>7. Maintain supplier information on Suppliers sheet.</t>
  </si>
  <si>
    <t>8. Use password ADMIN to unlock protected columns that are updated automatically.</t>
  </si>
  <si>
    <t>Active Products</t>
  </si>
  <si>
    <t>Items to Reorder</t>
  </si>
  <si>
    <t>Open PO Value</t>
  </si>
  <si>
    <t xml:space="preserve">5. Review physical counts vs automatically updated inventory counts </t>
  </si>
  <si>
    <t>FLN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</si>
</sst>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mm/dd/yyyy"/>
    <numFmt numFmtId="166" formatCode="General;;"/>
  </numFmts>
  <fonts count="11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4"/>
      <color rgb="FF1F4E78"/>
      <name val="Carlito"/>
    </font>
    <font>
      <b/>
      <sz val="11"/>
      <color rgb="FF1F4E78"/>
      <name val="Carlito"/>
    </font>
    <font>
      <u/>
      <sz val="11"/>
      <color theme="10"/>
      <name val="Carlito"/>
    </font>
    <font>
      <b/>
      <sz val="11"/>
      <color theme="0"/>
      <name val="Carlito"/>
    </font>
    <font>
      <b/>
      <sz val="11"/>
      <color theme="0" tint="-0.34998626667073579"/>
      <name val="Carlito"/>
    </font>
    <font>
      <sz val="11"/>
      <color theme="0" tint="-0.34998626667073579"/>
      <name val="Carlito"/>
    </font>
    <font>
      <b/>
      <sz val="14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5" fillId="0" borderId="0" xfId="1"/>
    <xf numFmtId="0" fontId="7" fillId="0" borderId="0" xfId="0" applyFont="1" applyAlignment="1">
      <alignment horizontal="center" vertical="center" wrapText="1"/>
    </xf>
    <xf numFmtId="1" fontId="8" fillId="0" borderId="0" xfId="0" applyNumberFormat="1" applyFont="1"/>
    <xf numFmtId="0" fontId="8" fillId="0" borderId="0" xfId="0" applyFont="1"/>
    <xf numFmtId="0" fontId="7" fillId="2" borderId="0" xfId="0" applyFont="1" applyFill="1" applyAlignment="1">
      <alignment horizontal="center" vertical="center" wrapText="1"/>
    </xf>
    <xf numFmtId="164" fontId="8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8" fillId="0" borderId="0" xfId="0" applyNumberFormat="1" applyFont="1"/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4" fontId="10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9">
    <dxf>
      <font>
        <b/>
        <color rgb="FFC00000"/>
      </font>
      <fill>
        <patternFill patternType="solid">
          <bgColor rgb="FFF4CCCC"/>
        </patternFill>
      </fill>
    </dxf>
    <dxf>
      <font>
        <color rgb="FF38761D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strike val="0"/>
        <outline val="0"/>
        <shadow val="0"/>
        <u val="none"/>
        <vertAlign val="baseline"/>
        <sz val="11"/>
        <color theme="0" tint="-0.34998626667073579"/>
        <name val="Carlito"/>
        <scheme val="none"/>
      </font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0" tint="-0.34998626667073579"/>
        <name val="Carlito"/>
        <scheme val="none"/>
      </font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0" tint="-0.34998626667073579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0" tint="-0.34998626667073579"/>
        <name val="Carlito"/>
        <scheme val="none"/>
      </font>
      <numFmt numFmtId="166" formatCode="General;;"/>
    </dxf>
    <dxf>
      <font>
        <strike val="0"/>
        <outline val="0"/>
        <shadow val="0"/>
        <u val="none"/>
        <vertAlign val="baseline"/>
        <sz val="11"/>
        <color theme="0" tint="-0.34998626667073579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0" tint="-0.34998626667073579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0" tint="-0.34998626667073579"/>
        <name val="Carlito"/>
        <scheme val="none"/>
      </font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Inventory Value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Inventory Value</c:v>
          </c:tx>
          <c:invertIfNegative val="1"/>
          <c:cat>
            <c:strRef>
              <c:f>Dashboard!$A$10:$A$14</c:f>
              <c:strCache>
                <c:ptCount val="5"/>
                <c:pt idx="0">
                  <c:v>Office Supplies</c:v>
                </c:pt>
                <c:pt idx="1">
                  <c:v>IT Equipment</c:v>
                </c:pt>
                <c:pt idx="2">
                  <c:v>Janitorial</c:v>
                </c:pt>
                <c:pt idx="3">
                  <c:v>Breakroom</c:v>
                </c:pt>
                <c:pt idx="4">
                  <c:v>Packaging</c:v>
                </c:pt>
              </c:strCache>
            </c:strRef>
          </c:cat>
          <c:val>
            <c:numRef>
              <c:f>Dashboard!$B$10:$B$14</c:f>
              <c:numCache>
                <c:formatCode>\$#,##0.00</c:formatCode>
                <c:ptCount val="5"/>
                <c:pt idx="0">
                  <c:v>1260.5</c:v>
                </c:pt>
                <c:pt idx="1">
                  <c:v>523</c:v>
                </c:pt>
                <c:pt idx="2">
                  <c:v>847.05</c:v>
                </c:pt>
                <c:pt idx="3">
                  <c:v>165</c:v>
                </c:pt>
                <c:pt idx="4">
                  <c:v>65.599999999999994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3-4E6B-B8F7-C2952C87B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7</xdr:row>
      <xdr:rowOff>7620</xdr:rowOff>
    </xdr:from>
    <xdr:to>
      <xdr:col>10</xdr:col>
      <xdr:colOff>1059180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Table" displayName="ProductsTable" ref="A3:N103" headerRowDxfId="28">
  <tableColumns count="14">
    <tableColumn id="1" xr3:uid="{00000000-0010-0000-0100-000001000000}" name="Item ID" dataDxfId="27"/>
    <tableColumn id="2" xr3:uid="{00000000-0010-0000-0100-000002000000}" name="Item Name" dataDxfId="26"/>
    <tableColumn id="3" xr3:uid="{00000000-0010-0000-0100-000003000000}" name="Category" dataDxfId="25"/>
    <tableColumn id="4" xr3:uid="{00000000-0010-0000-0100-000004000000}" name="Supplier" dataDxfId="24"/>
    <tableColumn id="5" xr3:uid="{00000000-0010-0000-0100-000005000000}" name="Unit" dataDxfId="23"/>
    <tableColumn id="6" xr3:uid="{00000000-0010-0000-0100-000006000000}" name="Location" dataDxfId="22"/>
    <tableColumn id="7" xr3:uid="{00000000-0010-0000-0100-000007000000}" name="Unit Cost" dataDxfId="21"/>
    <tableColumn id="8" xr3:uid="{00000000-0010-0000-0100-000008000000}" name="Opening Qty" dataDxfId="20"/>
    <tableColumn id="16" xr3:uid="{D24DBA89-BBA6-4F9C-A524-8F066359B885}" name="Reorder Point" dataDxfId="19"/>
    <tableColumn id="9" xr3:uid="{00000000-0010-0000-0100-000009000000}" name="Receipts" dataDxfId="18"/>
    <tableColumn id="10" xr3:uid="{00000000-0010-0000-0100-00000A000000}" name="Issues" dataDxfId="17"/>
    <tableColumn id="11" xr3:uid="{00000000-0010-0000-0100-00000B000000}" name="Adjustments" dataDxfId="16"/>
    <tableColumn id="12" xr3:uid="{00000000-0010-0000-0100-00000C000000}" name="Qty On Hand" dataDxfId="15"/>
    <tableColumn id="14" xr3:uid="{00000000-0010-0000-0100-00000E000000}" name="Statu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nsactionsTable" displayName="TransactionsTable" ref="A3:I486">
  <tableColumns count="9">
    <tableColumn id="1" xr3:uid="{00000000-0010-0000-0200-000001000000}" name="Transaction ID"/>
    <tableColumn id="2" xr3:uid="{00000000-0010-0000-0200-000002000000}" name="Type"/>
    <tableColumn id="3" xr3:uid="{00000000-0010-0000-0200-000003000000}" name="Item ID"/>
    <tableColumn id="4" xr3:uid="{00000000-0010-0000-0200-000004000000}" name="Item Name"/>
    <tableColumn id="5" xr3:uid="{00000000-0010-0000-0200-000005000000}" name="Date"/>
    <tableColumn id="6" xr3:uid="{00000000-0010-0000-0200-000006000000}" name="Quantity"/>
    <tableColumn id="7" xr3:uid="{00000000-0010-0000-0200-000007000000}" name="Reference"/>
    <tableColumn id="8" xr3:uid="{00000000-0010-0000-0200-000008000000}" name="Location"/>
    <tableColumn id="9" xr3:uid="{00000000-0010-0000-0200-000009000000}" name="Entered 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rchaseOrdersTable" displayName="PurchaseOrdersTable" ref="A3:K203">
  <tableColumns count="11">
    <tableColumn id="1" xr3:uid="{00000000-0010-0000-0300-000001000000}" name="PO Number" dataDxfId="13"/>
    <tableColumn id="2" xr3:uid="{00000000-0010-0000-0300-000002000000}" name="Order Date" dataDxfId="12"/>
    <tableColumn id="3" xr3:uid="{00000000-0010-0000-0300-000003000000}" name="Supplier" dataDxfId="11"/>
    <tableColumn id="4" xr3:uid="{00000000-0010-0000-0300-000004000000}" name="Item ID" dataDxfId="10"/>
    <tableColumn id="5" xr3:uid="{00000000-0010-0000-0300-000005000000}" name="Item Name" dataDxfId="9"/>
    <tableColumn id="6" xr3:uid="{00000000-0010-0000-0300-000006000000}" name="Qty Ordered" dataDxfId="8"/>
    <tableColumn id="12" xr3:uid="{4F0C419C-1812-40C7-B58D-8B229614CC75}" name="Expected Date" dataDxfId="7"/>
    <tableColumn id="13" xr3:uid="{1FCFCA9A-8398-4C38-971E-2D0D5519869F}" name="Qty Received" dataDxfId="6"/>
    <tableColumn id="14" xr3:uid="{6BEA8000-BA93-4AC5-A387-0A2A8DD956F5}" name="Status" dataDxfId="5"/>
    <tableColumn id="7" xr3:uid="{00000000-0010-0000-0300-000007000000}" name="Unit Cost" dataDxfId="4"/>
    <tableColumn id="8" xr3:uid="{00000000-0010-0000-0300-000008000000}" name="Extended Cost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sTable" displayName="SuppliersTable" ref="A3:H8">
  <tableColumns count="8">
    <tableColumn id="1" xr3:uid="{00000000-0010-0000-0000-000001000000}" name="Supplier ID"/>
    <tableColumn id="2" xr3:uid="{00000000-0010-0000-0000-000002000000}" name="Supplier Name"/>
    <tableColumn id="3" xr3:uid="{00000000-0010-0000-0000-000003000000}" name="Contact"/>
    <tableColumn id="4" xr3:uid="{00000000-0010-0000-0000-000004000000}" name="Phone"/>
    <tableColumn id="5" xr3:uid="{00000000-0010-0000-0000-000005000000}" name="Email"/>
    <tableColumn id="6" xr3:uid="{00000000-0010-0000-0000-000006000000}" name="Terms"/>
    <tableColumn id="7" xr3:uid="{00000000-0010-0000-0000-000007000000}" name="Active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e@greenvalleysupply.com" TargetMode="External"/><Relationship Id="rId2" Type="http://schemas.openxmlformats.org/officeDocument/2006/relationships/hyperlink" Target="mailto:sales@northstartech.com" TargetMode="External"/><Relationship Id="rId1" Type="http://schemas.openxmlformats.org/officeDocument/2006/relationships/hyperlink" Target="mailto:orders@apexoffice.com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support@metropackaging.com" TargetMode="External"/><Relationship Id="rId4" Type="http://schemas.openxmlformats.org/officeDocument/2006/relationships/hyperlink" Target="mailto:orders@blueridgewholesa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tabSelected="1" workbookViewId="0">
      <selection activeCell="D22" sqref="D22"/>
    </sheetView>
  </sheetViews>
  <sheetFormatPr defaultRowHeight="13.8"/>
  <cols>
    <col min="1" max="1" width="20" customWidth="1"/>
    <col min="2" max="2" width="27" customWidth="1"/>
    <col min="3" max="3" width="32" customWidth="1"/>
    <col min="4" max="4" width="36" customWidth="1"/>
    <col min="5" max="5" width="32" customWidth="1"/>
    <col min="6" max="8" width="10" customWidth="1"/>
  </cols>
  <sheetData>
    <row r="1" spans="1:8" ht="24" customHeight="1">
      <c r="A1" s="22" t="s">
        <v>137</v>
      </c>
      <c r="B1" s="22"/>
      <c r="C1" s="22"/>
      <c r="D1" s="22"/>
      <c r="E1" s="22"/>
      <c r="F1" s="22"/>
      <c r="G1" s="22"/>
      <c r="H1" s="22"/>
    </row>
    <row r="3" spans="1:8" ht="20.85" customHeight="1">
      <c r="A3" s="1" t="s">
        <v>138</v>
      </c>
      <c r="B3" s="1" t="s">
        <v>139</v>
      </c>
      <c r="C3" s="1" t="s">
        <v>140</v>
      </c>
      <c r="D3" s="1" t="s">
        <v>141</v>
      </c>
      <c r="E3" s="23" t="s">
        <v>142</v>
      </c>
      <c r="F3" s="23"/>
      <c r="G3" s="23"/>
      <c r="H3" s="23"/>
    </row>
    <row r="4" spans="1:8">
      <c r="A4" t="s">
        <v>143</v>
      </c>
      <c r="B4" t="s">
        <v>144</v>
      </c>
      <c r="C4" t="s">
        <v>145</v>
      </c>
      <c r="D4" t="s">
        <v>146</v>
      </c>
      <c r="E4" t="s">
        <v>147</v>
      </c>
    </row>
    <row r="5" spans="1:8">
      <c r="A5" t="s">
        <v>148</v>
      </c>
      <c r="B5" t="s">
        <v>149</v>
      </c>
      <c r="C5" t="s">
        <v>150</v>
      </c>
      <c r="D5" t="s">
        <v>151</v>
      </c>
      <c r="E5" t="s">
        <v>152</v>
      </c>
    </row>
    <row r="6" spans="1:8">
      <c r="A6" t="s">
        <v>153</v>
      </c>
      <c r="B6" t="s">
        <v>154</v>
      </c>
      <c r="C6" t="s">
        <v>155</v>
      </c>
      <c r="D6" t="s">
        <v>156</v>
      </c>
      <c r="E6" t="s">
        <v>157</v>
      </c>
    </row>
    <row r="7" spans="1:8">
      <c r="A7" t="s">
        <v>158</v>
      </c>
      <c r="B7" t="s">
        <v>159</v>
      </c>
      <c r="C7" t="s">
        <v>160</v>
      </c>
      <c r="D7" t="s">
        <v>161</v>
      </c>
      <c r="E7" t="s">
        <v>162</v>
      </c>
    </row>
    <row r="8" spans="1:8">
      <c r="A8" t="s">
        <v>163</v>
      </c>
      <c r="B8" t="s">
        <v>164</v>
      </c>
      <c r="C8" t="s">
        <v>165</v>
      </c>
      <c r="D8" t="s">
        <v>127</v>
      </c>
      <c r="E8" t="s">
        <v>166</v>
      </c>
    </row>
    <row r="9" spans="1:8">
      <c r="A9" t="s">
        <v>2</v>
      </c>
      <c r="B9" t="s">
        <v>167</v>
      </c>
      <c r="C9" t="s">
        <v>168</v>
      </c>
      <c r="D9" t="s">
        <v>169</v>
      </c>
      <c r="E9" t="s">
        <v>170</v>
      </c>
    </row>
    <row r="12" spans="1:8">
      <c r="A12" s="24" t="s">
        <v>171</v>
      </c>
      <c r="B12" s="24"/>
      <c r="C12" s="24"/>
      <c r="D12" s="24"/>
      <c r="E12" s="24"/>
      <c r="F12" s="24"/>
      <c r="G12" s="24"/>
      <c r="H12" s="24"/>
    </row>
    <row r="13" spans="1:8" ht="21.6" customHeight="1">
      <c r="A13" s="25" t="s">
        <v>182</v>
      </c>
      <c r="B13" s="25"/>
      <c r="C13" s="25"/>
      <c r="D13" s="25"/>
      <c r="E13" s="25"/>
      <c r="F13" s="25"/>
      <c r="G13" s="25"/>
      <c r="H13" s="25"/>
    </row>
    <row r="14" spans="1:8" ht="21.6" customHeight="1">
      <c r="A14" s="25" t="s">
        <v>183</v>
      </c>
      <c r="B14" s="25"/>
      <c r="C14" s="25"/>
      <c r="D14" s="25"/>
      <c r="E14" s="25"/>
      <c r="F14" s="25"/>
      <c r="G14" s="25"/>
      <c r="H14" s="25"/>
    </row>
    <row r="15" spans="1:8" ht="21.6" customHeight="1">
      <c r="A15" s="25" t="s">
        <v>184</v>
      </c>
      <c r="B15" s="25"/>
      <c r="C15" s="25"/>
      <c r="D15" s="25"/>
      <c r="E15" s="25"/>
      <c r="F15" s="25"/>
      <c r="G15" s="25"/>
      <c r="H15" s="25"/>
    </row>
    <row r="16" spans="1:8" ht="21.6" customHeight="1">
      <c r="A16" s="25" t="s">
        <v>181</v>
      </c>
      <c r="B16" s="25"/>
      <c r="C16" s="25"/>
      <c r="D16" s="25"/>
      <c r="E16" s="25"/>
      <c r="F16" s="25"/>
      <c r="G16" s="25"/>
      <c r="H16" s="25"/>
    </row>
    <row r="17" spans="1:8" ht="21.6" customHeight="1">
      <c r="A17" s="25" t="s">
        <v>191</v>
      </c>
      <c r="B17" s="25"/>
      <c r="C17" s="25"/>
      <c r="D17" s="25"/>
      <c r="E17" s="25"/>
      <c r="F17" s="25"/>
      <c r="G17" s="25"/>
      <c r="H17" s="25"/>
    </row>
    <row r="18" spans="1:8" ht="21.6" customHeight="1">
      <c r="A18" s="25" t="s">
        <v>185</v>
      </c>
      <c r="B18" s="25"/>
      <c r="C18" s="25"/>
      <c r="D18" s="25"/>
      <c r="E18" s="25"/>
      <c r="F18" s="25"/>
      <c r="G18" s="25"/>
      <c r="H18" s="25"/>
    </row>
    <row r="19" spans="1:8" ht="21.6" customHeight="1">
      <c r="A19" s="25" t="s">
        <v>186</v>
      </c>
      <c r="B19" s="25"/>
      <c r="C19" s="25"/>
      <c r="D19" s="25"/>
      <c r="E19" s="25"/>
      <c r="F19" s="25"/>
      <c r="G19" s="25"/>
      <c r="H19" s="25"/>
    </row>
    <row r="20" spans="1:8" ht="21.6" customHeight="1">
      <c r="A20" s="25" t="s">
        <v>187</v>
      </c>
      <c r="B20" s="25"/>
      <c r="C20" s="25"/>
      <c r="D20" s="25"/>
      <c r="E20" s="25"/>
      <c r="F20" s="25"/>
      <c r="G20" s="25"/>
      <c r="H20" s="25"/>
    </row>
    <row r="21" spans="1:8">
      <c r="E21" t="s">
        <v>177</v>
      </c>
    </row>
    <row r="22" spans="1:8">
      <c r="C22" t="s">
        <v>177</v>
      </c>
    </row>
  </sheetData>
  <mergeCells count="11">
    <mergeCell ref="A17:H17"/>
    <mergeCell ref="A18:H18"/>
    <mergeCell ref="A19:H19"/>
    <mergeCell ref="A20:H20"/>
    <mergeCell ref="A15:H15"/>
    <mergeCell ref="A16:H16"/>
    <mergeCell ref="A1:H1"/>
    <mergeCell ref="E3:H3"/>
    <mergeCell ref="A12:H12"/>
    <mergeCell ref="A13:H13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"/>
  <sheetViews>
    <sheetView workbookViewId="0">
      <selection activeCell="N31" sqref="N31"/>
    </sheetView>
  </sheetViews>
  <sheetFormatPr defaultRowHeight="13.8"/>
  <cols>
    <col min="1" max="1" width="15.3984375" customWidth="1"/>
    <col min="2" max="2" width="15.796875" customWidth="1"/>
    <col min="3" max="3" width="18" customWidth="1"/>
    <col min="4" max="4" width="11.3984375" customWidth="1"/>
    <col min="5" max="5" width="11.19921875" customWidth="1"/>
    <col min="6" max="6" width="13.796875" customWidth="1"/>
    <col min="7" max="7" width="12" customWidth="1"/>
    <col min="8" max="8" width="14.796875" customWidth="1"/>
    <col min="9" max="11" width="14" customWidth="1"/>
    <col min="12" max="12" width="5" customWidth="1"/>
    <col min="13" max="14" width="14" customWidth="1"/>
  </cols>
  <sheetData>
    <row r="1" spans="1:14" ht="24" customHeight="1">
      <c r="A1" s="22" t="s">
        <v>130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1"/>
      <c r="M1" s="21"/>
      <c r="N1" s="21"/>
    </row>
    <row r="4" spans="1:14" ht="13.8" customHeight="1">
      <c r="A4" s="26" t="s">
        <v>180</v>
      </c>
      <c r="B4" s="26"/>
      <c r="C4" s="12"/>
      <c r="D4" s="27" t="s">
        <v>188</v>
      </c>
      <c r="E4" s="27"/>
      <c r="F4" s="12"/>
      <c r="G4" s="26" t="s">
        <v>189</v>
      </c>
      <c r="H4" s="26"/>
      <c r="I4" s="12"/>
      <c r="J4" s="29" t="s">
        <v>190</v>
      </c>
      <c r="K4" s="29"/>
      <c r="M4" s="12"/>
      <c r="N4" s="12"/>
    </row>
    <row r="5" spans="1:14" ht="13.8" customHeight="1">
      <c r="A5" s="26" t="str">
        <f>TEXT(SUMPRODUCT(Products!$G$4:$G$103,Products!$M$4:$M$103),"$#,##0.00")</f>
        <v>$2,861.15</v>
      </c>
      <c r="B5" s="26"/>
      <c r="C5" s="12"/>
      <c r="D5" s="28" t="str">
        <f>TEXT(COUNTIF(Products!$A$4:$A$103,"&lt;&gt;"),"0")</f>
        <v>8</v>
      </c>
      <c r="E5" s="28"/>
      <c r="F5" s="12"/>
      <c r="G5" s="29" t="str">
        <f>TEXT(COUNTIF(Products!$N$4:$N$103,"REORDER"),"0")</f>
        <v>2</v>
      </c>
      <c r="H5" s="29"/>
      <c r="I5" s="12"/>
      <c r="J5" s="29" t="str">
        <f>TEXT(SUMIFS('Purchase Orders'!$K$4:$K$203,'Purchase Orders'!$I$4:$I$203,"&lt;&gt;Received",'Purchase Orders'!$K$4:$K$203,"&lt;&gt;Cancelled"),"$#,##0.00")</f>
        <v>$196.80</v>
      </c>
      <c r="K5" s="29"/>
      <c r="M5" s="12"/>
      <c r="N5" s="12"/>
    </row>
    <row r="6" spans="1:14" ht="13.8" customHeight="1">
      <c r="A6" s="26"/>
      <c r="B6" s="26"/>
      <c r="C6" s="12"/>
      <c r="D6" s="28"/>
      <c r="E6" s="28"/>
      <c r="F6" s="12"/>
      <c r="G6" s="29"/>
      <c r="H6" s="29"/>
      <c r="I6" s="12"/>
      <c r="J6" s="29"/>
      <c r="K6" s="29"/>
      <c r="M6" s="12"/>
      <c r="N6" s="12"/>
    </row>
    <row r="9" spans="1:14" ht="20.85" customHeight="1">
      <c r="A9" s="1" t="s">
        <v>70</v>
      </c>
      <c r="B9" s="1" t="s">
        <v>131</v>
      </c>
      <c r="D9" s="1" t="s">
        <v>81</v>
      </c>
      <c r="E9" s="1" t="s">
        <v>132</v>
      </c>
    </row>
    <row r="10" spans="1:14">
      <c r="A10" t="s">
        <v>7</v>
      </c>
      <c r="B10" s="2" cm="1">
        <f t="array" ref="B10">SUMPRODUCT((Products!$C$4:$C$103=A10)*(Products!$G$4:$G$103)*(Products!$M$4:$M$103))</f>
        <v>1260.5</v>
      </c>
      <c r="C10" s="2"/>
      <c r="D10" t="s">
        <v>133</v>
      </c>
      <c r="E10">
        <f>COUNTIF(Products!$N$4:$N$103,D10)</f>
        <v>6</v>
      </c>
    </row>
    <row r="11" spans="1:14">
      <c r="A11" t="s">
        <v>13</v>
      </c>
      <c r="B11" s="2">
        <f>SUMPRODUCT((Products!$C$4:$C$103=A11)*(Products!$G$4:$G$103)*(Products!$M$4:$M$103))</f>
        <v>523</v>
      </c>
      <c r="C11" s="2"/>
      <c r="D11" t="s">
        <v>134</v>
      </c>
      <c r="E11">
        <f>COUNTIF(Products!$N$4:$N$103,D11)</f>
        <v>2</v>
      </c>
    </row>
    <row r="12" spans="1:14">
      <c r="A12" t="s">
        <v>19</v>
      </c>
      <c r="B12" s="2">
        <f>SUMPRODUCT((Products!$C$4:$C$103=A12)*(Products!$G$4:$G$103)*(Products!$M$4:$M$103))</f>
        <v>847.05</v>
      </c>
      <c r="C12" s="2"/>
    </row>
    <row r="13" spans="1:14">
      <c r="A13" t="s">
        <v>25</v>
      </c>
      <c r="B13" s="2">
        <f>SUMPRODUCT((Products!$C$4:$C$103=A13)*(Products!$G$4:$G$103)*(Products!$M$4:$M$103))</f>
        <v>165</v>
      </c>
      <c r="C13" s="2"/>
    </row>
    <row r="14" spans="1:14">
      <c r="A14" t="s">
        <v>31</v>
      </c>
      <c r="B14" s="2">
        <f>SUMPRODUCT((Products!$C$4:$C$103=A14)*(Products!$G$4:$G$103)*(Products!$M$4:$M$103))</f>
        <v>65.599999999999994</v>
      </c>
      <c r="C14" s="2"/>
    </row>
    <row r="17" spans="1:6" ht="25.2" customHeight="1">
      <c r="A17" s="1" t="s">
        <v>135</v>
      </c>
      <c r="B17" s="1" t="s">
        <v>100</v>
      </c>
      <c r="C17" s="1" t="s">
        <v>136</v>
      </c>
      <c r="D17" s="1" t="s">
        <v>101</v>
      </c>
      <c r="E17" s="1" t="s">
        <v>102</v>
      </c>
      <c r="F17" s="1" t="s">
        <v>103</v>
      </c>
    </row>
    <row r="18" spans="1:6">
      <c r="A18" t="str">
        <f>Transactions!A4</f>
        <v>TXN0001</v>
      </c>
      <c r="B18" t="str">
        <f>Transactions!B4</f>
        <v>Receipt</v>
      </c>
      <c r="C18" t="str">
        <f>Transactions!D4</f>
        <v>Copy Paper, Letter</v>
      </c>
      <c r="D18" s="3">
        <f>Transactions!E4</f>
        <v>46235</v>
      </c>
      <c r="E18">
        <f>Transactions!F4</f>
        <v>10</v>
      </c>
      <c r="F18" t="str">
        <f>Transactions!G4</f>
        <v>PO-1001</v>
      </c>
    </row>
    <row r="19" spans="1:6">
      <c r="A19" t="str">
        <f>Transactions!A5</f>
        <v>TXN0002</v>
      </c>
      <c r="B19" t="str">
        <f>Transactions!B5</f>
        <v>Issue</v>
      </c>
      <c r="C19" t="str">
        <f>Transactions!D5</f>
        <v>Blue Ballpoint Pens</v>
      </c>
      <c r="D19" s="3">
        <f>Transactions!E5</f>
        <v>46236</v>
      </c>
      <c r="E19">
        <f>Transactions!F5</f>
        <v>8</v>
      </c>
      <c r="F19" t="str">
        <f>Transactions!G5</f>
        <v>REQ-2001</v>
      </c>
    </row>
    <row r="20" spans="1:6">
      <c r="A20" t="str">
        <f>Transactions!A6</f>
        <v>TXN0003</v>
      </c>
      <c r="B20" t="str">
        <f>Transactions!B6</f>
        <v>Receipt</v>
      </c>
      <c r="C20" t="str">
        <f>Transactions!D6</f>
        <v>Wireless Mouse</v>
      </c>
      <c r="D20" s="3">
        <f>Transactions!E6</f>
        <v>46237</v>
      </c>
      <c r="E20">
        <f>Transactions!F6</f>
        <v>6</v>
      </c>
      <c r="F20" t="str">
        <f>Transactions!G6</f>
        <v>PO-1002</v>
      </c>
    </row>
    <row r="21" spans="1:6">
      <c r="A21" t="str">
        <f>Transactions!A7</f>
        <v>TXN0004</v>
      </c>
      <c r="B21" t="str">
        <f>Transactions!B7</f>
        <v>Issue</v>
      </c>
      <c r="C21" t="str">
        <f>Transactions!D7</f>
        <v>Packing Tape</v>
      </c>
      <c r="D21" s="3">
        <f>Transactions!E7</f>
        <v>46238</v>
      </c>
      <c r="E21">
        <f>Transactions!F7</f>
        <v>2</v>
      </c>
      <c r="F21" t="str">
        <f>Transactions!G7</f>
        <v>SHIP-3001</v>
      </c>
    </row>
    <row r="22" spans="1:6">
      <c r="A22" t="str">
        <f>Transactions!A8</f>
        <v>TXN0005</v>
      </c>
      <c r="B22" t="str">
        <f>Transactions!B8</f>
        <v>Adjustment -</v>
      </c>
      <c r="C22" t="str">
        <f>Transactions!D8</f>
        <v>All-Purpose Cleaner</v>
      </c>
      <c r="D22" s="3">
        <f>Transactions!E8</f>
        <v>46239</v>
      </c>
      <c r="E22">
        <f>Transactions!F8</f>
        <v>1</v>
      </c>
      <c r="F22" t="str">
        <f>Transactions!G8</f>
        <v>COUNT-01</v>
      </c>
    </row>
    <row r="23" spans="1:6">
      <c r="A23" t="str">
        <f>Transactions!A9</f>
        <v>TXN0006</v>
      </c>
      <c r="B23" t="str">
        <f>Transactions!B9</f>
        <v>Issue</v>
      </c>
      <c r="C23" t="str">
        <f>Transactions!D9</f>
        <v>Coffee Pods</v>
      </c>
      <c r="D23" s="3">
        <f>Transactions!E9</f>
        <v>46240</v>
      </c>
      <c r="E23">
        <f>Transactions!F9</f>
        <v>3</v>
      </c>
      <c r="F23" t="str">
        <f>Transactions!G9</f>
        <v>REQ-2002</v>
      </c>
    </row>
  </sheetData>
  <mergeCells count="9">
    <mergeCell ref="J4:K4"/>
    <mergeCell ref="J5:K6"/>
    <mergeCell ref="A1:K1"/>
    <mergeCell ref="A4:B4"/>
    <mergeCell ref="A5:B6"/>
    <mergeCell ref="D4:E4"/>
    <mergeCell ref="D5:E6"/>
    <mergeCell ref="G4:H4"/>
    <mergeCell ref="G5:H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3"/>
  <sheetViews>
    <sheetView workbookViewId="0">
      <selection activeCell="O32" sqref="O32"/>
    </sheetView>
  </sheetViews>
  <sheetFormatPr defaultRowHeight="13.8"/>
  <cols>
    <col min="1" max="1" width="11" customWidth="1"/>
    <col min="2" max="2" width="21.3984375" customWidth="1"/>
    <col min="3" max="3" width="18" customWidth="1"/>
    <col min="4" max="4" width="22" customWidth="1"/>
    <col min="5" max="5" width="11" customWidth="1"/>
    <col min="6" max="6" width="18" customWidth="1"/>
    <col min="7" max="7" width="9.8984375" customWidth="1"/>
    <col min="8" max="8" width="9.796875" customWidth="1"/>
    <col min="9" max="9" width="9.59765625" customWidth="1"/>
    <col min="10" max="11" width="10" style="8" customWidth="1"/>
    <col min="12" max="12" width="12" style="8" customWidth="1"/>
    <col min="13" max="13" width="9.19921875" style="8" customWidth="1"/>
    <col min="14" max="14" width="12" style="8" customWidth="1"/>
  </cols>
  <sheetData>
    <row r="1" spans="1:16" ht="24" customHeight="1">
      <c r="A1" s="22" t="s">
        <v>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3" spans="1:16" s="4" customFormat="1" ht="27.6">
      <c r="A3" s="14" t="s">
        <v>68</v>
      </c>
      <c r="B3" s="14" t="s">
        <v>69</v>
      </c>
      <c r="C3" s="14" t="s">
        <v>70</v>
      </c>
      <c r="D3" s="14" t="s">
        <v>71</v>
      </c>
      <c r="E3" s="14" t="s">
        <v>72</v>
      </c>
      <c r="F3" s="14" t="s">
        <v>73</v>
      </c>
      <c r="G3" s="14" t="s">
        <v>74</v>
      </c>
      <c r="H3" s="14" t="s">
        <v>75</v>
      </c>
      <c r="I3" s="14" t="s">
        <v>80</v>
      </c>
      <c r="J3" s="6" t="s">
        <v>76</v>
      </c>
      <c r="K3" s="6" t="s">
        <v>77</v>
      </c>
      <c r="L3" s="6" t="s">
        <v>78</v>
      </c>
      <c r="M3" s="6" t="s">
        <v>79</v>
      </c>
      <c r="N3" s="6" t="s">
        <v>81</v>
      </c>
    </row>
    <row r="4" spans="1:16">
      <c r="A4" s="15" t="s">
        <v>82</v>
      </c>
      <c r="B4" s="15" t="s">
        <v>83</v>
      </c>
      <c r="C4" s="15" t="s">
        <v>7</v>
      </c>
      <c r="D4" s="15" t="s">
        <v>8</v>
      </c>
      <c r="E4" s="15" t="s">
        <v>23</v>
      </c>
      <c r="F4" s="15" t="s">
        <v>12</v>
      </c>
      <c r="G4" s="16">
        <v>34.5</v>
      </c>
      <c r="H4" s="17">
        <v>24</v>
      </c>
      <c r="I4" s="17">
        <v>10</v>
      </c>
      <c r="J4" s="7">
        <f>IF(ProductsTable[[#This Row],[Unit Cost]]="","",SUMIFS(Transactions!F:F,Transactions!C:C,A4,Transactions!B:B,"Receipt"))</f>
        <v>10</v>
      </c>
      <c r="K4" s="7">
        <f>IF(ProductsTable[[#This Row],[Unit Cost]]="","",SUMIFS(Transactions!F:F,Transactions!C:C,A4,Transactions!B:B,"Issue"))</f>
        <v>0</v>
      </c>
      <c r="L4" s="7">
        <f>IF(ProductsTable[[#This Row],[Unit Cost]]="","",SUMIFS(Transactions!F:F,Transactions!C:C,A4,Transactions!B:B,"Adjustment +")-SUMIFS(Transactions!F:F,Transactions!C:C,A4,Transactions!B:B,"Adjustment -"))</f>
        <v>0</v>
      </c>
      <c r="M4" s="13">
        <f>IF(ProductsTable[[#This Row],[Unit Cost]]&lt;&gt;"",H4+J4-K4+L4,ProductsTable[[#This Row],[Unit Cost]])</f>
        <v>34</v>
      </c>
      <c r="N4" s="8" t="str">
        <f>IF(A4="","",IF(M4&lt;=ProductsTable[[#This Row],[Reorder Point]],"REORDER","OK"))</f>
        <v>OK</v>
      </c>
    </row>
    <row r="5" spans="1:16">
      <c r="A5" s="15" t="s">
        <v>84</v>
      </c>
      <c r="B5" s="15" t="s">
        <v>85</v>
      </c>
      <c r="C5" s="15" t="s">
        <v>7</v>
      </c>
      <c r="D5" s="15" t="s">
        <v>26</v>
      </c>
      <c r="E5" s="15" t="s">
        <v>17</v>
      </c>
      <c r="F5" s="15" t="s">
        <v>30</v>
      </c>
      <c r="G5" s="16">
        <v>8.75</v>
      </c>
      <c r="H5" s="17">
        <v>18</v>
      </c>
      <c r="I5" s="17">
        <v>12</v>
      </c>
      <c r="J5" s="7">
        <f>IF(ProductsTable[[#This Row],[Unit Cost]]="","",SUMIFS(Transactions!F:F,Transactions!C:C,A5,Transactions!B:B,"Receipt"))</f>
        <v>0</v>
      </c>
      <c r="K5" s="7">
        <f>IF(ProductsTable[[#This Row],[Unit Cost]]="","",SUMIFS(Transactions!F:F,Transactions!C:C,A5,Transactions!B:B,"Issue"))</f>
        <v>8</v>
      </c>
      <c r="L5" s="7">
        <f>IF(ProductsTable[[#This Row],[Unit Cost]]="","",SUMIFS(Transactions!F:F,Transactions!C:C,A5,Transactions!B:B,"Adjustment +")-SUMIFS(Transactions!F:F,Transactions!C:C,A5,Transactions!B:B,"Adjustment -"))</f>
        <v>0</v>
      </c>
      <c r="M5" s="13">
        <f>IF(ProductsTable[[#This Row],[Unit Cost]]&lt;&gt;"",H5+J5-K5+L5,ProductsTable[[#This Row],[Unit Cost]])</f>
        <v>10</v>
      </c>
      <c r="N5" s="8" t="str">
        <f>IF(A5="","",IF(M5&lt;=ProductsTable[[#This Row],[Reorder Point]],"REORDER","OK"))</f>
        <v>REORDER</v>
      </c>
    </row>
    <row r="6" spans="1:16">
      <c r="A6" s="15" t="s">
        <v>86</v>
      </c>
      <c r="B6" s="15" t="s">
        <v>87</v>
      </c>
      <c r="C6" s="15" t="s">
        <v>13</v>
      </c>
      <c r="D6" s="15" t="s">
        <v>14</v>
      </c>
      <c r="E6" s="15" t="s">
        <v>11</v>
      </c>
      <c r="F6" s="15" t="s">
        <v>24</v>
      </c>
      <c r="G6" s="16">
        <v>22</v>
      </c>
      <c r="H6" s="17">
        <v>12</v>
      </c>
      <c r="I6" s="17">
        <v>5</v>
      </c>
      <c r="J6" s="7">
        <f>IF(ProductsTable[[#This Row],[Unit Cost]]="","",SUMIFS(Transactions!F:F,Transactions!C:C,A6,Transactions!B:B,"Receipt"))</f>
        <v>0</v>
      </c>
      <c r="K6" s="7">
        <f>IF(ProductsTable[[#This Row],[Unit Cost]]="","",SUMIFS(Transactions!F:F,Transactions!C:C,A6,Transactions!B:B,"Issue"))</f>
        <v>0</v>
      </c>
      <c r="L6" s="7">
        <f>IF(ProductsTable[[#This Row],[Unit Cost]]="","",SUMIFS(Transactions!F:F,Transactions!C:C,A6,Transactions!B:B,"Adjustment +")-SUMIFS(Transactions!F:F,Transactions!C:C,A6,Transactions!B:B,"Adjustment -"))</f>
        <v>0</v>
      </c>
      <c r="M6" s="13">
        <f>IF(ProductsTable[[#This Row],[Unit Cost]]&lt;&gt;"",H6+J6-K6+L6,ProductsTable[[#This Row],[Unit Cost]])</f>
        <v>12</v>
      </c>
      <c r="N6" s="8" t="str">
        <f>IF(A6="","",IF(M6&lt;=ProductsTable[[#This Row],[Reorder Point]],"REORDER","OK"))</f>
        <v>OK</v>
      </c>
    </row>
    <row r="7" spans="1:16">
      <c r="A7" s="15" t="s">
        <v>88</v>
      </c>
      <c r="B7" s="15" t="s">
        <v>89</v>
      </c>
      <c r="C7" s="15" t="s">
        <v>13</v>
      </c>
      <c r="D7" s="15" t="s">
        <v>14</v>
      </c>
      <c r="E7" s="15" t="s">
        <v>11</v>
      </c>
      <c r="F7" s="15" t="s">
        <v>24</v>
      </c>
      <c r="G7" s="16">
        <v>18.5</v>
      </c>
      <c r="H7" s="17">
        <v>8</v>
      </c>
      <c r="I7" s="17">
        <v>6</v>
      </c>
      <c r="J7" s="7">
        <f>IF(ProductsTable[[#This Row],[Unit Cost]]="","",SUMIFS(Transactions!F:F,Transactions!C:C,A7,Transactions!B:B,"Receipt"))</f>
        <v>6</v>
      </c>
      <c r="K7" s="7">
        <f>IF(ProductsTable[[#This Row],[Unit Cost]]="","",SUMIFS(Transactions!F:F,Transactions!C:C,A7,Transactions!B:B,"Issue"))</f>
        <v>0</v>
      </c>
      <c r="L7" s="7">
        <f>IF(ProductsTable[[#This Row],[Unit Cost]]="","",SUMIFS(Transactions!F:F,Transactions!C:C,A7,Transactions!B:B,"Adjustment +")-SUMIFS(Transactions!F:F,Transactions!C:C,A7,Transactions!B:B,"Adjustment -"))</f>
        <v>0</v>
      </c>
      <c r="M7" s="13">
        <f>IF(ProductsTable[[#This Row],[Unit Cost]]&lt;&gt;"",H7+J7-K7+L7,ProductsTable[[#This Row],[Unit Cost]])</f>
        <v>14</v>
      </c>
      <c r="N7" s="8" t="str">
        <f>IF(A7="","",IF(M7&lt;=ProductsTable[[#This Row],[Reorder Point]],"REORDER","OK"))</f>
        <v>OK</v>
      </c>
    </row>
    <row r="8" spans="1:16">
      <c r="A8" s="15" t="s">
        <v>90</v>
      </c>
      <c r="B8" s="15" t="s">
        <v>91</v>
      </c>
      <c r="C8" s="15" t="s">
        <v>19</v>
      </c>
      <c r="D8" s="15" t="s">
        <v>20</v>
      </c>
      <c r="E8" s="15" t="s">
        <v>23</v>
      </c>
      <c r="F8" s="15" t="s">
        <v>12</v>
      </c>
      <c r="G8" s="16">
        <v>29.95</v>
      </c>
      <c r="H8" s="17">
        <v>10</v>
      </c>
      <c r="I8" s="17">
        <v>4</v>
      </c>
      <c r="J8" s="7">
        <f>IF(ProductsTable[[#This Row],[Unit Cost]]="","",SUMIFS(Transactions!F:F,Transactions!C:C,A8,Transactions!B:B,"Receipt"))</f>
        <v>0</v>
      </c>
      <c r="K8" s="7">
        <f>IF(ProductsTable[[#This Row],[Unit Cost]]="","",SUMIFS(Transactions!F:F,Transactions!C:C,A8,Transactions!B:B,"Issue"))</f>
        <v>0</v>
      </c>
      <c r="L8" s="7">
        <f>IF(ProductsTable[[#This Row],[Unit Cost]]="","",SUMIFS(Transactions!F:F,Transactions!C:C,A8,Transactions!B:B,"Adjustment +")-SUMIFS(Transactions!F:F,Transactions!C:C,A8,Transactions!B:B,"Adjustment -"))</f>
        <v>-1</v>
      </c>
      <c r="M8" s="13">
        <f>IF(ProductsTable[[#This Row],[Unit Cost]]&lt;&gt;"",H8+J8-K8+L8,ProductsTable[[#This Row],[Unit Cost]])</f>
        <v>9</v>
      </c>
      <c r="N8" s="8" t="str">
        <f>IF(A8="","",IF(M8&lt;=ProductsTable[[#This Row],[Reorder Point]],"REORDER","OK"))</f>
        <v>OK</v>
      </c>
    </row>
    <row r="9" spans="1:16">
      <c r="A9" s="15" t="s">
        <v>92</v>
      </c>
      <c r="B9" s="15" t="s">
        <v>93</v>
      </c>
      <c r="C9" s="15" t="s">
        <v>19</v>
      </c>
      <c r="D9" s="15" t="s">
        <v>20</v>
      </c>
      <c r="E9" s="15" t="s">
        <v>23</v>
      </c>
      <c r="F9" s="15" t="s">
        <v>12</v>
      </c>
      <c r="G9" s="16">
        <v>41.25</v>
      </c>
      <c r="H9" s="17">
        <v>14</v>
      </c>
      <c r="I9" s="17">
        <v>6</v>
      </c>
      <c r="J9" s="7">
        <f>IF(ProductsTable[[#This Row],[Unit Cost]]="","",SUMIFS(Transactions!F:F,Transactions!C:C,A9,Transactions!B:B,"Receipt"))</f>
        <v>0</v>
      </c>
      <c r="K9" s="7">
        <f>IF(ProductsTable[[#This Row],[Unit Cost]]="","",SUMIFS(Transactions!F:F,Transactions!C:C,A9,Transactions!B:B,"Issue"))</f>
        <v>0</v>
      </c>
      <c r="L9" s="7">
        <f>IF(ProductsTable[[#This Row],[Unit Cost]]="","",SUMIFS(Transactions!F:F,Transactions!C:C,A9,Transactions!B:B,"Adjustment +")-SUMIFS(Transactions!F:F,Transactions!C:C,A9,Transactions!B:B,"Adjustment -"))</f>
        <v>0</v>
      </c>
      <c r="M9" s="13">
        <f>IF(ProductsTable[[#This Row],[Unit Cost]]&lt;&gt;"",H9+J9-K9+L9,ProductsTable[[#This Row],[Unit Cost]])</f>
        <v>14</v>
      </c>
      <c r="N9" s="8" t="str">
        <f>IF(A9="","",IF(M9&lt;=ProductsTable[[#This Row],[Reorder Point]],"REORDER","OK"))</f>
        <v>OK</v>
      </c>
    </row>
    <row r="10" spans="1:16">
      <c r="A10" s="15" t="s">
        <v>94</v>
      </c>
      <c r="B10" s="15" t="s">
        <v>95</v>
      </c>
      <c r="C10" s="15" t="s">
        <v>25</v>
      </c>
      <c r="D10" s="15" t="s">
        <v>26</v>
      </c>
      <c r="E10" s="15" t="s">
        <v>17</v>
      </c>
      <c r="F10" s="15" t="s">
        <v>18</v>
      </c>
      <c r="G10" s="16">
        <v>27.5</v>
      </c>
      <c r="H10" s="17">
        <v>9</v>
      </c>
      <c r="I10" s="17">
        <v>5</v>
      </c>
      <c r="J10" s="7">
        <f>IF(ProductsTable[[#This Row],[Unit Cost]]="","",SUMIFS(Transactions!F:F,Transactions!C:C,A10,Transactions!B:B,"Receipt"))</f>
        <v>0</v>
      </c>
      <c r="K10" s="7">
        <f>IF(ProductsTable[[#This Row],[Unit Cost]]="","",SUMIFS(Transactions!F:F,Transactions!C:C,A10,Transactions!B:B,"Issue"))</f>
        <v>3</v>
      </c>
      <c r="L10" s="7">
        <f>IF(ProductsTable[[#This Row],[Unit Cost]]="","",SUMIFS(Transactions!F:F,Transactions!C:C,A10,Transactions!B:B,"Adjustment +")-SUMIFS(Transactions!F:F,Transactions!C:C,A10,Transactions!B:B,"Adjustment -"))</f>
        <v>0</v>
      </c>
      <c r="M10" s="13">
        <f>IF(ProductsTable[[#This Row],[Unit Cost]]&lt;&gt;"",H10+J10-K10+L10,ProductsTable[[#This Row],[Unit Cost]])</f>
        <v>6</v>
      </c>
      <c r="N10" s="8" t="str">
        <f>IF(A10="","",IF(M10&lt;=ProductsTable[[#This Row],[Reorder Point]],"REORDER","OK"))</f>
        <v>OK</v>
      </c>
    </row>
    <row r="11" spans="1:16">
      <c r="A11" s="15" t="s">
        <v>96</v>
      </c>
      <c r="B11" s="15" t="s">
        <v>97</v>
      </c>
      <c r="C11" s="15" t="s">
        <v>31</v>
      </c>
      <c r="D11" s="15" t="s">
        <v>32</v>
      </c>
      <c r="E11" s="15" t="s">
        <v>29</v>
      </c>
      <c r="F11" s="15" t="s">
        <v>12</v>
      </c>
      <c r="G11" s="16">
        <v>16.399999999999999</v>
      </c>
      <c r="H11" s="17">
        <v>6</v>
      </c>
      <c r="I11" s="17">
        <v>8</v>
      </c>
      <c r="J11" s="7">
        <f>IF(ProductsTable[[#This Row],[Unit Cost]]="","",SUMIFS(Transactions!F:F,Transactions!C:C,A11,Transactions!B:B,"Receipt"))</f>
        <v>0</v>
      </c>
      <c r="K11" s="7">
        <f>IF(ProductsTable[[#This Row],[Unit Cost]]="","",SUMIFS(Transactions!F:F,Transactions!C:C,A11,Transactions!B:B,"Issue"))</f>
        <v>2</v>
      </c>
      <c r="L11" s="7">
        <f>IF(ProductsTable[[#This Row],[Unit Cost]]="","",SUMIFS(Transactions!F:F,Transactions!C:C,A11,Transactions!B:B,"Adjustment +")-SUMIFS(Transactions!F:F,Transactions!C:C,A11,Transactions!B:B,"Adjustment -"))</f>
        <v>0</v>
      </c>
      <c r="M11" s="13">
        <f>IF(ProductsTable[[#This Row],[Unit Cost]]&lt;&gt;"",H11+J11-K11+L11,ProductsTable[[#This Row],[Unit Cost]])</f>
        <v>4</v>
      </c>
      <c r="N11" s="8" t="str">
        <f>IF(A11="","",IF(M11&lt;=ProductsTable[[#This Row],[Reorder Point]],"REORDER","OK"))</f>
        <v>REORDER</v>
      </c>
    </row>
    <row r="12" spans="1:16">
      <c r="A12" s="15"/>
      <c r="B12" s="15"/>
      <c r="C12" s="15"/>
      <c r="D12" s="15"/>
      <c r="E12" s="15"/>
      <c r="F12" s="15"/>
      <c r="G12" s="16"/>
      <c r="H12" s="17"/>
      <c r="I12" s="17"/>
      <c r="J12" s="7" t="str">
        <f>IF(ProductsTable[[#This Row],[Unit Cost]]="","",SUMIFS(Transactions!F:F,Transactions!C:C,A12,Transactions!B:B,"Receipt"))</f>
        <v/>
      </c>
      <c r="K12" s="7" t="str">
        <f>IF(ProductsTable[[#This Row],[Unit Cost]]="","",SUMIFS(Transactions!F:F,Transactions!C:C,A12,Transactions!B:B,"Issue"))</f>
        <v/>
      </c>
      <c r="L12" s="7" t="str">
        <f>IF(ProductsTable[[#This Row],[Unit Cost]]="","",SUMIFS(Transactions!F:F,Transactions!C:C,A12,Transactions!B:B,"Adjustment +")-SUMIFS(Transactions!F:F,Transactions!C:C,A12,Transactions!B:B,"Adjustment -"))</f>
        <v/>
      </c>
      <c r="M12" s="13">
        <f>IF(ProductsTable[[#This Row],[Unit Cost]]&lt;&gt;"",H12+J12-K12+L12,ProductsTable[[#This Row],[Unit Cost]])</f>
        <v>0</v>
      </c>
      <c r="N12" s="8" t="str">
        <f>IF(A12="","",IF(M12&lt;=ProductsTable[[#This Row],[Reorder Point]],"REORDER","OK"))</f>
        <v/>
      </c>
    </row>
    <row r="13" spans="1:16">
      <c r="A13" s="15"/>
      <c r="B13" s="15"/>
      <c r="C13" s="15"/>
      <c r="D13" s="15"/>
      <c r="E13" s="15"/>
      <c r="F13" s="15"/>
      <c r="G13" s="16"/>
      <c r="H13" s="17"/>
      <c r="I13" s="17"/>
      <c r="J13" s="7" t="str">
        <f>IF(ProductsTable[[#This Row],[Unit Cost]]="","",SUMIFS(Transactions!F:F,Transactions!C:C,A13,Transactions!B:B,"Receipt"))</f>
        <v/>
      </c>
      <c r="K13" s="7" t="str">
        <f>IF(ProductsTable[[#This Row],[Unit Cost]]="","",SUMIFS(Transactions!F:F,Transactions!C:C,A13,Transactions!B:B,"Issue"))</f>
        <v/>
      </c>
      <c r="L13" s="7" t="str">
        <f>IF(ProductsTable[[#This Row],[Unit Cost]]="","",SUMIFS(Transactions!F:F,Transactions!C:C,A13,Transactions!B:B,"Adjustment +")-SUMIFS(Transactions!F:F,Transactions!C:C,A13,Transactions!B:B,"Adjustment -"))</f>
        <v/>
      </c>
      <c r="M13" s="13">
        <f>IF(ProductsTable[[#This Row],[Unit Cost]]&lt;&gt;"",H13+J13-K13+L13,ProductsTable[[#This Row],[Unit Cost]])</f>
        <v>0</v>
      </c>
      <c r="N13" s="8" t="str">
        <f>IF(A13="","",IF(M13&lt;=ProductsTable[[#This Row],[Reorder Point]],"REORDER","OK"))</f>
        <v/>
      </c>
    </row>
    <row r="14" spans="1:16">
      <c r="A14" s="15"/>
      <c r="B14" s="15"/>
      <c r="C14" s="15"/>
      <c r="D14" s="15"/>
      <c r="E14" s="15"/>
      <c r="F14" s="15"/>
      <c r="G14" s="16"/>
      <c r="H14" s="17"/>
      <c r="I14" s="17"/>
      <c r="J14" s="7" t="str">
        <f>IF(ProductsTable[[#This Row],[Unit Cost]]="","",SUMIFS(Transactions!F:F,Transactions!C:C,A14,Transactions!B:B,"Receipt"))</f>
        <v/>
      </c>
      <c r="K14" s="7" t="str">
        <f>IF(ProductsTable[[#This Row],[Unit Cost]]="","",SUMIFS(Transactions!F:F,Transactions!C:C,A14,Transactions!B:B,"Issue"))</f>
        <v/>
      </c>
      <c r="L14" s="7" t="str">
        <f>IF(ProductsTable[[#This Row],[Unit Cost]]="","",SUMIFS(Transactions!F:F,Transactions!C:C,A14,Transactions!B:B,"Adjustment +")-SUMIFS(Transactions!F:F,Transactions!C:C,A14,Transactions!B:B,"Adjustment -"))</f>
        <v/>
      </c>
      <c r="M14" s="13">
        <f>IF(ProductsTable[[#This Row],[Unit Cost]]&lt;&gt;"",H14+J14-K14+L14,ProductsTable[[#This Row],[Unit Cost]])</f>
        <v>0</v>
      </c>
      <c r="N14" s="8" t="str">
        <f>IF(A14="","",IF(M14&lt;=ProductsTable[[#This Row],[Reorder Point]],"REORDER","OK"))</f>
        <v/>
      </c>
    </row>
    <row r="15" spans="1:16">
      <c r="A15" s="15"/>
      <c r="B15" s="15"/>
      <c r="C15" s="15"/>
      <c r="D15" s="15"/>
      <c r="E15" s="15"/>
      <c r="F15" s="15"/>
      <c r="G15" s="16"/>
      <c r="H15" s="17"/>
      <c r="I15" s="17"/>
      <c r="J15" s="7" t="str">
        <f>IF(ProductsTable[[#This Row],[Unit Cost]]="","",SUMIFS(Transactions!F:F,Transactions!C:C,A15,Transactions!B:B,"Receipt"))</f>
        <v/>
      </c>
      <c r="K15" s="7" t="str">
        <f>IF(ProductsTable[[#This Row],[Unit Cost]]="","",SUMIFS(Transactions!F:F,Transactions!C:C,A15,Transactions!B:B,"Issue"))</f>
        <v/>
      </c>
      <c r="L15" s="7" t="str">
        <f>IF(ProductsTable[[#This Row],[Unit Cost]]="","",SUMIFS(Transactions!F:F,Transactions!C:C,A15,Transactions!B:B,"Adjustment +")-SUMIFS(Transactions!F:F,Transactions!C:C,A15,Transactions!B:B,"Adjustment -"))</f>
        <v/>
      </c>
      <c r="M15" s="13">
        <f>IF(ProductsTable[[#This Row],[Unit Cost]]&lt;&gt;"",H15+J15-K15+L15,ProductsTable[[#This Row],[Unit Cost]])</f>
        <v>0</v>
      </c>
      <c r="N15" s="8" t="str">
        <f>IF(A15="","",IF(M15&lt;=ProductsTable[[#This Row],[Reorder Point]],"REORDER","OK"))</f>
        <v/>
      </c>
      <c r="P15" t="s">
        <v>177</v>
      </c>
    </row>
    <row r="16" spans="1:16">
      <c r="A16" s="15"/>
      <c r="B16" s="15"/>
      <c r="C16" s="15"/>
      <c r="D16" s="15"/>
      <c r="E16" s="15"/>
      <c r="F16" s="15"/>
      <c r="G16" s="16"/>
      <c r="H16" s="17"/>
      <c r="I16" s="17"/>
      <c r="J16" s="7" t="str">
        <f>IF(ProductsTable[[#This Row],[Unit Cost]]="","",SUMIFS(Transactions!F:F,Transactions!C:C,A16,Transactions!B:B,"Receipt"))</f>
        <v/>
      </c>
      <c r="K16" s="7" t="str">
        <f>IF(ProductsTable[[#This Row],[Unit Cost]]="","",SUMIFS(Transactions!F:F,Transactions!C:C,A16,Transactions!B:B,"Issue"))</f>
        <v/>
      </c>
      <c r="L16" s="7" t="str">
        <f>IF(ProductsTable[[#This Row],[Unit Cost]]="","",SUMIFS(Transactions!F:F,Transactions!C:C,A16,Transactions!B:B,"Adjustment +")-SUMIFS(Transactions!F:F,Transactions!C:C,A16,Transactions!B:B,"Adjustment -"))</f>
        <v/>
      </c>
      <c r="M16" s="13">
        <f>IF(ProductsTable[[#This Row],[Unit Cost]]&lt;&gt;"",H16+J16-K16+L16,ProductsTable[[#This Row],[Unit Cost]])</f>
        <v>0</v>
      </c>
      <c r="N16" s="8" t="str">
        <f>IF(A16="","",IF(M16&lt;=ProductsTable[[#This Row],[Reorder Point]],"REORDER","OK"))</f>
        <v/>
      </c>
    </row>
    <row r="17" spans="1:14">
      <c r="A17" s="15"/>
      <c r="B17" s="15"/>
      <c r="C17" s="15"/>
      <c r="D17" s="15"/>
      <c r="E17" s="15"/>
      <c r="F17" s="15"/>
      <c r="G17" s="16"/>
      <c r="H17" s="17"/>
      <c r="I17" s="17"/>
      <c r="J17" s="7" t="str">
        <f>IF(ProductsTable[[#This Row],[Unit Cost]]="","",SUMIFS(Transactions!F:F,Transactions!C:C,A17,Transactions!B:B,"Receipt"))</f>
        <v/>
      </c>
      <c r="K17" s="7" t="str">
        <f>IF(ProductsTable[[#This Row],[Unit Cost]]="","",SUMIFS(Transactions!F:F,Transactions!C:C,A17,Transactions!B:B,"Issue"))</f>
        <v/>
      </c>
      <c r="L17" s="7" t="str">
        <f>IF(ProductsTable[[#This Row],[Unit Cost]]="","",SUMIFS(Transactions!F:F,Transactions!C:C,A17,Transactions!B:B,"Adjustment +")-SUMIFS(Transactions!F:F,Transactions!C:C,A17,Transactions!B:B,"Adjustment -"))</f>
        <v/>
      </c>
      <c r="M17" s="13">
        <f>IF(ProductsTable[[#This Row],[Unit Cost]]&lt;&gt;"",H17+J17-K17+L17,ProductsTable[[#This Row],[Unit Cost]])</f>
        <v>0</v>
      </c>
      <c r="N17" s="8" t="str">
        <f>IF(A17="","",IF(M17&lt;=ProductsTable[[#This Row],[Reorder Point]],"REORDER","OK"))</f>
        <v/>
      </c>
    </row>
    <row r="18" spans="1:14">
      <c r="A18" s="15"/>
      <c r="B18" s="15"/>
      <c r="C18" s="15"/>
      <c r="D18" s="15"/>
      <c r="E18" s="15"/>
      <c r="F18" s="15"/>
      <c r="G18" s="16"/>
      <c r="H18" s="17"/>
      <c r="I18" s="17"/>
      <c r="J18" s="7" t="str">
        <f>IF(ProductsTable[[#This Row],[Unit Cost]]="","",SUMIFS(Transactions!F:F,Transactions!C:C,A18,Transactions!B:B,"Receipt"))</f>
        <v/>
      </c>
      <c r="K18" s="7" t="str">
        <f>IF(ProductsTable[[#This Row],[Unit Cost]]="","",SUMIFS(Transactions!F:F,Transactions!C:C,A18,Transactions!B:B,"Issue"))</f>
        <v/>
      </c>
      <c r="L18" s="7" t="str">
        <f>IF(ProductsTable[[#This Row],[Unit Cost]]="","",SUMIFS(Transactions!F:F,Transactions!C:C,A18,Transactions!B:B,"Adjustment +")-SUMIFS(Transactions!F:F,Transactions!C:C,A18,Transactions!B:B,"Adjustment -"))</f>
        <v/>
      </c>
      <c r="M18" s="13">
        <f>IF(ProductsTable[[#This Row],[Unit Cost]]&lt;&gt;"",H18+J18-K18+L18,ProductsTable[[#This Row],[Unit Cost]])</f>
        <v>0</v>
      </c>
      <c r="N18" s="8" t="str">
        <f>IF(A18="","",IF(M18&lt;=ProductsTable[[#This Row],[Reorder Point]],"REORDER","OK"))</f>
        <v/>
      </c>
    </row>
    <row r="19" spans="1:14">
      <c r="A19" s="15"/>
      <c r="B19" s="15"/>
      <c r="C19" s="15"/>
      <c r="D19" s="15"/>
      <c r="E19" s="15"/>
      <c r="F19" s="15"/>
      <c r="G19" s="16"/>
      <c r="H19" s="17"/>
      <c r="I19" s="17"/>
      <c r="J19" s="7" t="str">
        <f>IF(ProductsTable[[#This Row],[Unit Cost]]="","",SUMIFS(Transactions!F:F,Transactions!C:C,A19,Transactions!B:B,"Receipt"))</f>
        <v/>
      </c>
      <c r="K19" s="7" t="str">
        <f>IF(ProductsTable[[#This Row],[Unit Cost]]="","",SUMIFS(Transactions!F:F,Transactions!C:C,A19,Transactions!B:B,"Issue"))</f>
        <v/>
      </c>
      <c r="L19" s="7" t="str">
        <f>IF(ProductsTable[[#This Row],[Unit Cost]]="","",SUMIFS(Transactions!F:F,Transactions!C:C,A19,Transactions!B:B,"Adjustment +")-SUMIFS(Transactions!F:F,Transactions!C:C,A19,Transactions!B:B,"Adjustment -"))</f>
        <v/>
      </c>
      <c r="M19" s="13">
        <f>IF(ProductsTable[[#This Row],[Unit Cost]]&lt;&gt;"",H19+J19-K19+L19,ProductsTable[[#This Row],[Unit Cost]])</f>
        <v>0</v>
      </c>
      <c r="N19" s="8" t="str">
        <f>IF(A19="","",IF(M19&lt;=ProductsTable[[#This Row],[Reorder Point]],"REORDER","OK"))</f>
        <v/>
      </c>
    </row>
    <row r="20" spans="1:14">
      <c r="A20" s="15"/>
      <c r="B20" s="15"/>
      <c r="C20" s="15"/>
      <c r="D20" s="15"/>
      <c r="E20" s="15"/>
      <c r="F20" s="15"/>
      <c r="G20" s="16"/>
      <c r="H20" s="17"/>
      <c r="I20" s="17"/>
      <c r="J20" s="7" t="str">
        <f>IF(ProductsTable[[#This Row],[Unit Cost]]="","",SUMIFS(Transactions!F:F,Transactions!C:C,A20,Transactions!B:B,"Receipt"))</f>
        <v/>
      </c>
      <c r="K20" s="7" t="str">
        <f>IF(ProductsTable[[#This Row],[Unit Cost]]="","",SUMIFS(Transactions!F:F,Transactions!C:C,A20,Transactions!B:B,"Issue"))</f>
        <v/>
      </c>
      <c r="L20" s="7" t="str">
        <f>IF(ProductsTable[[#This Row],[Unit Cost]]="","",SUMIFS(Transactions!F:F,Transactions!C:C,A20,Transactions!B:B,"Adjustment +")-SUMIFS(Transactions!F:F,Transactions!C:C,A20,Transactions!B:B,"Adjustment -"))</f>
        <v/>
      </c>
      <c r="M20" s="13">
        <f>IF(ProductsTable[[#This Row],[Unit Cost]]&lt;&gt;"",H20+J20-K20+L20,ProductsTable[[#This Row],[Unit Cost]])</f>
        <v>0</v>
      </c>
      <c r="N20" s="8" t="str">
        <f>IF(A20="","",IF(M20&lt;=ProductsTable[[#This Row],[Reorder Point]],"REORDER","OK"))</f>
        <v/>
      </c>
    </row>
    <row r="21" spans="1:14">
      <c r="A21" s="15"/>
      <c r="B21" s="15"/>
      <c r="C21" s="15"/>
      <c r="D21" s="15"/>
      <c r="E21" s="15"/>
      <c r="F21" s="15"/>
      <c r="G21" s="16"/>
      <c r="H21" s="17"/>
      <c r="I21" s="17"/>
      <c r="J21" s="7" t="str">
        <f>IF(ProductsTable[[#This Row],[Unit Cost]]="","",SUMIFS(Transactions!F:F,Transactions!C:C,A21,Transactions!B:B,"Receipt"))</f>
        <v/>
      </c>
      <c r="K21" s="7" t="str">
        <f>IF(ProductsTable[[#This Row],[Unit Cost]]="","",SUMIFS(Transactions!F:F,Transactions!C:C,A21,Transactions!B:B,"Issue"))</f>
        <v/>
      </c>
      <c r="L21" s="7" t="str">
        <f>IF(ProductsTable[[#This Row],[Unit Cost]]="","",SUMIFS(Transactions!F:F,Transactions!C:C,A21,Transactions!B:B,"Adjustment +")-SUMIFS(Transactions!F:F,Transactions!C:C,A21,Transactions!B:B,"Adjustment -"))</f>
        <v/>
      </c>
      <c r="M21" s="13">
        <f>IF(ProductsTable[[#This Row],[Unit Cost]]&lt;&gt;"",H21+J21-K21+L21,ProductsTable[[#This Row],[Unit Cost]])</f>
        <v>0</v>
      </c>
      <c r="N21" s="8" t="str">
        <f>IF(A21="","",IF(M21&lt;=ProductsTable[[#This Row],[Reorder Point]],"REORDER","OK"))</f>
        <v/>
      </c>
    </row>
    <row r="22" spans="1:14">
      <c r="A22" s="15"/>
      <c r="B22" s="15"/>
      <c r="C22" s="15"/>
      <c r="D22" s="15"/>
      <c r="E22" s="15"/>
      <c r="F22" s="15"/>
      <c r="G22" s="16"/>
      <c r="H22" s="17"/>
      <c r="I22" s="17"/>
      <c r="J22" s="7" t="str">
        <f>IF(ProductsTable[[#This Row],[Unit Cost]]="","",SUMIFS(Transactions!F:F,Transactions!C:C,A22,Transactions!B:B,"Receipt"))</f>
        <v/>
      </c>
      <c r="K22" s="7" t="str">
        <f>IF(ProductsTable[[#This Row],[Unit Cost]]="","",SUMIFS(Transactions!F:F,Transactions!C:C,A22,Transactions!B:B,"Issue"))</f>
        <v/>
      </c>
      <c r="L22" s="7" t="str">
        <f>IF(ProductsTable[[#This Row],[Unit Cost]]="","",SUMIFS(Transactions!F:F,Transactions!C:C,A22,Transactions!B:B,"Adjustment +")-SUMIFS(Transactions!F:F,Transactions!C:C,A22,Transactions!B:B,"Adjustment -"))</f>
        <v/>
      </c>
      <c r="M22" s="13">
        <f>IF(ProductsTable[[#This Row],[Unit Cost]]&lt;&gt;"",H22+J22-K22+L22,ProductsTable[[#This Row],[Unit Cost]])</f>
        <v>0</v>
      </c>
      <c r="N22" s="8" t="str">
        <f>IF(A22="","",IF(M22&lt;=ProductsTable[[#This Row],[Reorder Point]],"REORDER","OK"))</f>
        <v/>
      </c>
    </row>
    <row r="23" spans="1:14">
      <c r="A23" s="15"/>
      <c r="B23" s="15"/>
      <c r="C23" s="15"/>
      <c r="D23" s="15"/>
      <c r="E23" s="15"/>
      <c r="F23" s="15"/>
      <c r="G23" s="16"/>
      <c r="H23" s="17"/>
      <c r="I23" s="17"/>
      <c r="J23" s="7" t="str">
        <f>IF(ProductsTable[[#This Row],[Unit Cost]]="","",SUMIFS(Transactions!F:F,Transactions!C:C,A23,Transactions!B:B,"Receipt"))</f>
        <v/>
      </c>
      <c r="K23" s="7" t="str">
        <f>IF(ProductsTable[[#This Row],[Unit Cost]]="","",SUMIFS(Transactions!F:F,Transactions!C:C,A23,Transactions!B:B,"Issue"))</f>
        <v/>
      </c>
      <c r="L23" s="7" t="str">
        <f>IF(ProductsTable[[#This Row],[Unit Cost]]="","",SUMIFS(Transactions!F:F,Transactions!C:C,A23,Transactions!B:B,"Adjustment +")-SUMIFS(Transactions!F:F,Transactions!C:C,A23,Transactions!B:B,"Adjustment -"))</f>
        <v/>
      </c>
      <c r="M23" s="13">
        <f>IF(ProductsTable[[#This Row],[Unit Cost]]&lt;&gt;"",H23+J23-K23+L23,ProductsTable[[#This Row],[Unit Cost]])</f>
        <v>0</v>
      </c>
      <c r="N23" s="8" t="str">
        <f>IF(A23="","",IF(M23&lt;=ProductsTable[[#This Row],[Reorder Point]],"REORDER","OK"))</f>
        <v/>
      </c>
    </row>
    <row r="24" spans="1:14">
      <c r="A24" s="15"/>
      <c r="B24" s="15"/>
      <c r="C24" s="15"/>
      <c r="D24" s="15"/>
      <c r="E24" s="15"/>
      <c r="F24" s="15"/>
      <c r="G24" s="16"/>
      <c r="H24" s="17"/>
      <c r="I24" s="17"/>
      <c r="J24" s="7" t="str">
        <f>IF(ProductsTable[[#This Row],[Unit Cost]]="","",SUMIFS(Transactions!F:F,Transactions!C:C,A24,Transactions!B:B,"Receipt"))</f>
        <v/>
      </c>
      <c r="K24" s="7" t="str">
        <f>IF(ProductsTable[[#This Row],[Unit Cost]]="","",SUMIFS(Transactions!F:F,Transactions!C:C,A24,Transactions!B:B,"Issue"))</f>
        <v/>
      </c>
      <c r="L24" s="7" t="str">
        <f>IF(ProductsTable[[#This Row],[Unit Cost]]="","",SUMIFS(Transactions!F:F,Transactions!C:C,A24,Transactions!B:B,"Adjustment +")-SUMIFS(Transactions!F:F,Transactions!C:C,A24,Transactions!B:B,"Adjustment -"))</f>
        <v/>
      </c>
      <c r="M24" s="13">
        <f>IF(ProductsTable[[#This Row],[Unit Cost]]&lt;&gt;"",H24+J24-K24+L24,ProductsTable[[#This Row],[Unit Cost]])</f>
        <v>0</v>
      </c>
      <c r="N24" s="8" t="str">
        <f>IF(A24="","",IF(M24&lt;=ProductsTable[[#This Row],[Reorder Point]],"REORDER","OK"))</f>
        <v/>
      </c>
    </row>
    <row r="25" spans="1:14">
      <c r="A25" s="15"/>
      <c r="B25" s="15"/>
      <c r="C25" s="15"/>
      <c r="D25" s="15"/>
      <c r="E25" s="15"/>
      <c r="F25" s="15"/>
      <c r="G25" s="16"/>
      <c r="H25" s="17"/>
      <c r="I25" s="17"/>
      <c r="J25" s="7" t="str">
        <f>IF(ProductsTable[[#This Row],[Unit Cost]]="","",SUMIFS(Transactions!F:F,Transactions!C:C,A25,Transactions!B:B,"Receipt"))</f>
        <v/>
      </c>
      <c r="K25" s="7" t="str">
        <f>IF(ProductsTable[[#This Row],[Unit Cost]]="","",SUMIFS(Transactions!F:F,Transactions!C:C,A25,Transactions!B:B,"Issue"))</f>
        <v/>
      </c>
      <c r="L25" s="7" t="str">
        <f>IF(ProductsTable[[#This Row],[Unit Cost]]="","",SUMIFS(Transactions!F:F,Transactions!C:C,A25,Transactions!B:B,"Adjustment +")-SUMIFS(Transactions!F:F,Transactions!C:C,A25,Transactions!B:B,"Adjustment -"))</f>
        <v/>
      </c>
      <c r="M25" s="13">
        <f>IF(ProductsTable[[#This Row],[Unit Cost]]&lt;&gt;"",H25+J25-K25+L25,ProductsTable[[#This Row],[Unit Cost]])</f>
        <v>0</v>
      </c>
      <c r="N25" s="8" t="str">
        <f>IF(A25="","",IF(M25&lt;=ProductsTable[[#This Row],[Reorder Point]],"REORDER","OK"))</f>
        <v/>
      </c>
    </row>
    <row r="26" spans="1:14">
      <c r="A26" s="15"/>
      <c r="B26" s="15"/>
      <c r="C26" s="15"/>
      <c r="D26" s="15"/>
      <c r="E26" s="15"/>
      <c r="F26" s="15"/>
      <c r="G26" s="16"/>
      <c r="H26" s="17"/>
      <c r="I26" s="17"/>
      <c r="J26" s="7" t="str">
        <f>IF(ProductsTable[[#This Row],[Unit Cost]]="","",SUMIFS(Transactions!F:F,Transactions!C:C,A26,Transactions!B:B,"Receipt"))</f>
        <v/>
      </c>
      <c r="K26" s="7" t="str">
        <f>IF(ProductsTable[[#This Row],[Unit Cost]]="","",SUMIFS(Transactions!F:F,Transactions!C:C,A26,Transactions!B:B,"Issue"))</f>
        <v/>
      </c>
      <c r="L26" s="7" t="str">
        <f>IF(ProductsTable[[#This Row],[Unit Cost]]="","",SUMIFS(Transactions!F:F,Transactions!C:C,A26,Transactions!B:B,"Adjustment +")-SUMIFS(Transactions!F:F,Transactions!C:C,A26,Transactions!B:B,"Adjustment -"))</f>
        <v/>
      </c>
      <c r="M26" s="13">
        <f>IF(ProductsTable[[#This Row],[Unit Cost]]&lt;&gt;"",H26+J26-K26+L26,ProductsTable[[#This Row],[Unit Cost]])</f>
        <v>0</v>
      </c>
      <c r="N26" s="8" t="str">
        <f>IF(A26="","",IF(M26&lt;=ProductsTable[[#This Row],[Reorder Point]],"REORDER","OK"))</f>
        <v/>
      </c>
    </row>
    <row r="27" spans="1:14">
      <c r="A27" s="15"/>
      <c r="B27" s="15"/>
      <c r="C27" s="15"/>
      <c r="D27" s="15"/>
      <c r="E27" s="15"/>
      <c r="F27" s="15"/>
      <c r="G27" s="16"/>
      <c r="H27" s="17"/>
      <c r="I27" s="17"/>
      <c r="J27" s="7" t="str">
        <f>IF(ProductsTable[[#This Row],[Unit Cost]]="","",SUMIFS(Transactions!F:F,Transactions!C:C,A27,Transactions!B:B,"Receipt"))</f>
        <v/>
      </c>
      <c r="K27" s="7" t="str">
        <f>IF(ProductsTable[[#This Row],[Unit Cost]]="","",SUMIFS(Transactions!F:F,Transactions!C:C,A27,Transactions!B:B,"Issue"))</f>
        <v/>
      </c>
      <c r="L27" s="7" t="str">
        <f>IF(ProductsTable[[#This Row],[Unit Cost]]="","",SUMIFS(Transactions!F:F,Transactions!C:C,A27,Transactions!B:B,"Adjustment +")-SUMIFS(Transactions!F:F,Transactions!C:C,A27,Transactions!B:B,"Adjustment -"))</f>
        <v/>
      </c>
      <c r="M27" s="13">
        <f>IF(ProductsTable[[#This Row],[Unit Cost]]&lt;&gt;"",H27+J27-K27+L27,ProductsTable[[#This Row],[Unit Cost]])</f>
        <v>0</v>
      </c>
      <c r="N27" s="8" t="str">
        <f>IF(A27="","",IF(M27&lt;=ProductsTable[[#This Row],[Reorder Point]],"REORDER","OK"))</f>
        <v/>
      </c>
    </row>
    <row r="28" spans="1:14">
      <c r="A28" s="15"/>
      <c r="B28" s="15"/>
      <c r="C28" s="15"/>
      <c r="D28" s="15"/>
      <c r="E28" s="15"/>
      <c r="F28" s="15"/>
      <c r="G28" s="16"/>
      <c r="H28" s="17"/>
      <c r="I28" s="17"/>
      <c r="J28" s="7" t="str">
        <f>IF(ProductsTable[[#This Row],[Unit Cost]]="","",SUMIFS(Transactions!F:F,Transactions!C:C,A28,Transactions!B:B,"Receipt"))</f>
        <v/>
      </c>
      <c r="K28" s="7" t="str">
        <f>IF(ProductsTable[[#This Row],[Unit Cost]]="","",SUMIFS(Transactions!F:F,Transactions!C:C,A28,Transactions!B:B,"Issue"))</f>
        <v/>
      </c>
      <c r="L28" s="7" t="str">
        <f>IF(ProductsTable[[#This Row],[Unit Cost]]="","",SUMIFS(Transactions!F:F,Transactions!C:C,A28,Transactions!B:B,"Adjustment +")-SUMIFS(Transactions!F:F,Transactions!C:C,A28,Transactions!B:B,"Adjustment -"))</f>
        <v/>
      </c>
      <c r="M28" s="13">
        <f>IF(ProductsTable[[#This Row],[Unit Cost]]&lt;&gt;"",H28+J28-K28+L28,ProductsTable[[#This Row],[Unit Cost]])</f>
        <v>0</v>
      </c>
      <c r="N28" s="8" t="str">
        <f>IF(A28="","",IF(M28&lt;=ProductsTable[[#This Row],[Reorder Point]],"REORDER","OK"))</f>
        <v/>
      </c>
    </row>
    <row r="29" spans="1:14">
      <c r="A29" s="15"/>
      <c r="B29" s="15"/>
      <c r="C29" s="15"/>
      <c r="D29" s="15"/>
      <c r="E29" s="15"/>
      <c r="F29" s="15"/>
      <c r="G29" s="16"/>
      <c r="H29" s="17"/>
      <c r="I29" s="17"/>
      <c r="J29" s="7" t="str">
        <f>IF(ProductsTable[[#This Row],[Unit Cost]]="","",SUMIFS(Transactions!F:F,Transactions!C:C,A29,Transactions!B:B,"Receipt"))</f>
        <v/>
      </c>
      <c r="K29" s="7" t="str">
        <f>IF(ProductsTable[[#This Row],[Unit Cost]]="","",SUMIFS(Transactions!F:F,Transactions!C:C,A29,Transactions!B:B,"Issue"))</f>
        <v/>
      </c>
      <c r="L29" s="7" t="str">
        <f>IF(ProductsTable[[#This Row],[Unit Cost]]="","",SUMIFS(Transactions!F:F,Transactions!C:C,A29,Transactions!B:B,"Adjustment +")-SUMIFS(Transactions!F:F,Transactions!C:C,A29,Transactions!B:B,"Adjustment -"))</f>
        <v/>
      </c>
      <c r="M29" s="13">
        <f>IF(ProductsTable[[#This Row],[Unit Cost]]&lt;&gt;"",H29+J29-K29+L29,ProductsTable[[#This Row],[Unit Cost]])</f>
        <v>0</v>
      </c>
      <c r="N29" s="8" t="str">
        <f>IF(A29="","",IF(M29&lt;=ProductsTable[[#This Row],[Reorder Point]],"REORDER","OK"))</f>
        <v/>
      </c>
    </row>
    <row r="30" spans="1:14">
      <c r="A30" s="15"/>
      <c r="B30" s="15"/>
      <c r="C30" s="15"/>
      <c r="D30" s="15"/>
      <c r="E30" s="15"/>
      <c r="F30" s="15"/>
      <c r="G30" s="16"/>
      <c r="H30" s="17"/>
      <c r="I30" s="17"/>
      <c r="J30" s="7" t="str">
        <f>IF(ProductsTable[[#This Row],[Unit Cost]]="","",SUMIFS(Transactions!F:F,Transactions!C:C,A30,Transactions!B:B,"Receipt"))</f>
        <v/>
      </c>
      <c r="K30" s="7" t="str">
        <f>IF(ProductsTable[[#This Row],[Unit Cost]]="","",SUMIFS(Transactions!F:F,Transactions!C:C,A30,Transactions!B:B,"Issue"))</f>
        <v/>
      </c>
      <c r="L30" s="7" t="str">
        <f>IF(ProductsTable[[#This Row],[Unit Cost]]="","",SUMIFS(Transactions!F:F,Transactions!C:C,A30,Transactions!B:B,"Adjustment +")-SUMIFS(Transactions!F:F,Transactions!C:C,A30,Transactions!B:B,"Adjustment -"))</f>
        <v/>
      </c>
      <c r="M30" s="13">
        <f>IF(ProductsTable[[#This Row],[Unit Cost]]&lt;&gt;"",H30+J30-K30+L30,ProductsTable[[#This Row],[Unit Cost]])</f>
        <v>0</v>
      </c>
      <c r="N30" s="8" t="str">
        <f>IF(A30="","",IF(M30&lt;=ProductsTable[[#This Row],[Reorder Point]],"REORDER","OK"))</f>
        <v/>
      </c>
    </row>
    <row r="31" spans="1:14">
      <c r="A31" s="15"/>
      <c r="B31" s="15"/>
      <c r="C31" s="15"/>
      <c r="D31" s="15"/>
      <c r="E31" s="15"/>
      <c r="F31" s="15"/>
      <c r="G31" s="16"/>
      <c r="H31" s="17"/>
      <c r="I31" s="17"/>
      <c r="J31" s="7" t="str">
        <f>IF(ProductsTable[[#This Row],[Unit Cost]]="","",SUMIFS(Transactions!F:F,Transactions!C:C,A31,Transactions!B:B,"Receipt"))</f>
        <v/>
      </c>
      <c r="K31" s="7" t="str">
        <f>IF(ProductsTable[[#This Row],[Unit Cost]]="","",SUMIFS(Transactions!F:F,Transactions!C:C,A31,Transactions!B:B,"Issue"))</f>
        <v/>
      </c>
      <c r="L31" s="7" t="str">
        <f>IF(ProductsTable[[#This Row],[Unit Cost]]="","",SUMIFS(Transactions!F:F,Transactions!C:C,A31,Transactions!B:B,"Adjustment +")-SUMIFS(Transactions!F:F,Transactions!C:C,A31,Transactions!B:B,"Adjustment -"))</f>
        <v/>
      </c>
      <c r="M31" s="13">
        <f>IF(ProductsTable[[#This Row],[Unit Cost]]&lt;&gt;"",H31+J31-K31+L31,ProductsTable[[#This Row],[Unit Cost]])</f>
        <v>0</v>
      </c>
      <c r="N31" s="8" t="str">
        <f>IF(A31="","",IF(M31&lt;=ProductsTable[[#This Row],[Reorder Point]],"REORDER","OK"))</f>
        <v/>
      </c>
    </row>
    <row r="32" spans="1:14">
      <c r="A32" s="15"/>
      <c r="B32" s="15"/>
      <c r="C32" s="15"/>
      <c r="D32" s="15"/>
      <c r="E32" s="15"/>
      <c r="F32" s="15"/>
      <c r="G32" s="16"/>
      <c r="H32" s="17"/>
      <c r="I32" s="17"/>
      <c r="J32" s="7" t="str">
        <f>IF(ProductsTable[[#This Row],[Unit Cost]]="","",SUMIFS(Transactions!F:F,Transactions!C:C,A32,Transactions!B:B,"Receipt"))</f>
        <v/>
      </c>
      <c r="K32" s="7" t="str">
        <f>IF(ProductsTable[[#This Row],[Unit Cost]]="","",SUMIFS(Transactions!F:F,Transactions!C:C,A32,Transactions!B:B,"Issue"))</f>
        <v/>
      </c>
      <c r="L32" s="7" t="str">
        <f>IF(ProductsTable[[#This Row],[Unit Cost]]="","",SUMIFS(Transactions!F:F,Transactions!C:C,A32,Transactions!B:B,"Adjustment +")-SUMIFS(Transactions!F:F,Transactions!C:C,A32,Transactions!B:B,"Adjustment -"))</f>
        <v/>
      </c>
      <c r="M32" s="13">
        <f>IF(ProductsTable[[#This Row],[Unit Cost]]&lt;&gt;"",H32+J32-K32+L32,ProductsTable[[#This Row],[Unit Cost]])</f>
        <v>0</v>
      </c>
      <c r="N32" s="8" t="str">
        <f>IF(A32="","",IF(M32&lt;=ProductsTable[[#This Row],[Reorder Point]],"REORDER","OK"))</f>
        <v/>
      </c>
    </row>
    <row r="33" spans="1:14">
      <c r="A33" s="15"/>
      <c r="B33" s="15"/>
      <c r="C33" s="15"/>
      <c r="D33" s="15"/>
      <c r="E33" s="15"/>
      <c r="F33" s="15"/>
      <c r="G33" s="16"/>
      <c r="H33" s="17"/>
      <c r="I33" s="17"/>
      <c r="J33" s="7" t="str">
        <f>IF(ProductsTable[[#This Row],[Unit Cost]]="","",SUMIFS(Transactions!F:F,Transactions!C:C,A33,Transactions!B:B,"Receipt"))</f>
        <v/>
      </c>
      <c r="K33" s="7" t="str">
        <f>IF(ProductsTable[[#This Row],[Unit Cost]]="","",SUMIFS(Transactions!F:F,Transactions!C:C,A33,Transactions!B:B,"Issue"))</f>
        <v/>
      </c>
      <c r="L33" s="7" t="str">
        <f>IF(ProductsTable[[#This Row],[Unit Cost]]="","",SUMIFS(Transactions!F:F,Transactions!C:C,A33,Transactions!B:B,"Adjustment +")-SUMIFS(Transactions!F:F,Transactions!C:C,A33,Transactions!B:B,"Adjustment -"))</f>
        <v/>
      </c>
      <c r="M33" s="13">
        <f>IF(ProductsTable[[#This Row],[Unit Cost]]&lt;&gt;"",H33+J33-K33+L33,ProductsTable[[#This Row],[Unit Cost]])</f>
        <v>0</v>
      </c>
      <c r="N33" s="8" t="str">
        <f>IF(A33="","",IF(M33&lt;=ProductsTable[[#This Row],[Reorder Point]],"REORDER","OK"))</f>
        <v/>
      </c>
    </row>
    <row r="34" spans="1:14">
      <c r="A34" s="15"/>
      <c r="B34" s="15"/>
      <c r="C34" s="15"/>
      <c r="D34" s="15"/>
      <c r="E34" s="15"/>
      <c r="F34" s="15"/>
      <c r="G34" s="16"/>
      <c r="H34" s="17"/>
      <c r="I34" s="17"/>
      <c r="J34" s="7" t="str">
        <f>IF(ProductsTable[[#This Row],[Unit Cost]]="","",SUMIFS(Transactions!F:F,Transactions!C:C,A34,Transactions!B:B,"Receipt"))</f>
        <v/>
      </c>
      <c r="K34" s="7" t="str">
        <f>IF(ProductsTable[[#This Row],[Unit Cost]]="","",SUMIFS(Transactions!F:F,Transactions!C:C,A34,Transactions!B:B,"Issue"))</f>
        <v/>
      </c>
      <c r="L34" s="7" t="str">
        <f>IF(ProductsTable[[#This Row],[Unit Cost]]="","",SUMIFS(Transactions!F:F,Transactions!C:C,A34,Transactions!B:B,"Adjustment +")-SUMIFS(Transactions!F:F,Transactions!C:C,A34,Transactions!B:B,"Adjustment -"))</f>
        <v/>
      </c>
      <c r="M34" s="13">
        <f>IF(ProductsTable[[#This Row],[Unit Cost]]&lt;&gt;"",H34+J34-K34+L34,ProductsTable[[#This Row],[Unit Cost]])</f>
        <v>0</v>
      </c>
      <c r="N34" s="8" t="str">
        <f>IF(A34="","",IF(M34&lt;=ProductsTable[[#This Row],[Reorder Point]],"REORDER","OK"))</f>
        <v/>
      </c>
    </row>
    <row r="35" spans="1:14">
      <c r="A35" s="15"/>
      <c r="B35" s="15"/>
      <c r="C35" s="15"/>
      <c r="D35" s="15"/>
      <c r="E35" s="15"/>
      <c r="F35" s="15"/>
      <c r="G35" s="16"/>
      <c r="H35" s="17"/>
      <c r="I35" s="17"/>
      <c r="J35" s="7" t="str">
        <f>IF(ProductsTable[[#This Row],[Unit Cost]]="","",SUMIFS(Transactions!F:F,Transactions!C:C,A35,Transactions!B:B,"Receipt"))</f>
        <v/>
      </c>
      <c r="K35" s="7" t="str">
        <f>IF(ProductsTable[[#This Row],[Unit Cost]]="","",SUMIFS(Transactions!F:F,Transactions!C:C,A35,Transactions!B:B,"Issue"))</f>
        <v/>
      </c>
      <c r="L35" s="7" t="str">
        <f>IF(ProductsTable[[#This Row],[Unit Cost]]="","",SUMIFS(Transactions!F:F,Transactions!C:C,A35,Transactions!B:B,"Adjustment +")-SUMIFS(Transactions!F:F,Transactions!C:C,A35,Transactions!B:B,"Adjustment -"))</f>
        <v/>
      </c>
      <c r="M35" s="13">
        <f>IF(ProductsTable[[#This Row],[Unit Cost]]&lt;&gt;"",H35+J35-K35+L35,ProductsTable[[#This Row],[Unit Cost]])</f>
        <v>0</v>
      </c>
      <c r="N35" s="8" t="str">
        <f>IF(A35="","",IF(M35&lt;=ProductsTable[[#This Row],[Reorder Point]],"REORDER","OK"))</f>
        <v/>
      </c>
    </row>
    <row r="36" spans="1:14">
      <c r="A36" s="15"/>
      <c r="B36" s="15"/>
      <c r="C36" s="15"/>
      <c r="D36" s="15"/>
      <c r="E36" s="15"/>
      <c r="F36" s="15"/>
      <c r="G36" s="16"/>
      <c r="H36" s="17"/>
      <c r="I36" s="17"/>
      <c r="J36" s="7" t="str">
        <f>IF(ProductsTable[[#This Row],[Unit Cost]]="","",SUMIFS(Transactions!F:F,Transactions!C:C,A36,Transactions!B:B,"Receipt"))</f>
        <v/>
      </c>
      <c r="K36" s="7" t="str">
        <f>IF(ProductsTable[[#This Row],[Unit Cost]]="","",SUMIFS(Transactions!F:F,Transactions!C:C,A36,Transactions!B:B,"Issue"))</f>
        <v/>
      </c>
      <c r="L36" s="7" t="str">
        <f>IF(ProductsTable[[#This Row],[Unit Cost]]="","",SUMIFS(Transactions!F:F,Transactions!C:C,A36,Transactions!B:B,"Adjustment +")-SUMIFS(Transactions!F:F,Transactions!C:C,A36,Transactions!B:B,"Adjustment -"))</f>
        <v/>
      </c>
      <c r="M36" s="13">
        <f>IF(ProductsTable[[#This Row],[Unit Cost]]&lt;&gt;"",H36+J36-K36+L36,ProductsTable[[#This Row],[Unit Cost]])</f>
        <v>0</v>
      </c>
      <c r="N36" s="8" t="str">
        <f>IF(A36="","",IF(M36&lt;=ProductsTable[[#This Row],[Reorder Point]],"REORDER","OK"))</f>
        <v/>
      </c>
    </row>
    <row r="37" spans="1:14">
      <c r="A37" s="15"/>
      <c r="B37" s="15"/>
      <c r="C37" s="15"/>
      <c r="D37" s="15"/>
      <c r="E37" s="15"/>
      <c r="F37" s="15"/>
      <c r="G37" s="16"/>
      <c r="H37" s="17"/>
      <c r="I37" s="17"/>
      <c r="J37" s="7" t="str">
        <f>IF(ProductsTable[[#This Row],[Unit Cost]]="","",SUMIFS(Transactions!F:F,Transactions!C:C,A37,Transactions!B:B,"Receipt"))</f>
        <v/>
      </c>
      <c r="K37" s="7" t="str">
        <f>IF(ProductsTable[[#This Row],[Unit Cost]]="","",SUMIFS(Transactions!F:F,Transactions!C:C,A37,Transactions!B:B,"Issue"))</f>
        <v/>
      </c>
      <c r="L37" s="7" t="str">
        <f>IF(ProductsTable[[#This Row],[Unit Cost]]="","",SUMIFS(Transactions!F:F,Transactions!C:C,A37,Transactions!B:B,"Adjustment +")-SUMIFS(Transactions!F:F,Transactions!C:C,A37,Transactions!B:B,"Adjustment -"))</f>
        <v/>
      </c>
      <c r="M37" s="13">
        <f>IF(ProductsTable[[#This Row],[Unit Cost]]&lt;&gt;"",H37+J37-K37+L37,ProductsTable[[#This Row],[Unit Cost]])</f>
        <v>0</v>
      </c>
      <c r="N37" s="8" t="str">
        <f>IF(A37="","",IF(M37&lt;=ProductsTable[[#This Row],[Reorder Point]],"REORDER","OK"))</f>
        <v/>
      </c>
    </row>
    <row r="38" spans="1:14">
      <c r="A38" s="15"/>
      <c r="B38" s="15"/>
      <c r="C38" s="15"/>
      <c r="D38" s="15"/>
      <c r="E38" s="15"/>
      <c r="F38" s="15"/>
      <c r="G38" s="16"/>
      <c r="H38" s="17"/>
      <c r="I38" s="17"/>
      <c r="J38" s="7" t="str">
        <f>IF(ProductsTable[[#This Row],[Unit Cost]]="","",SUMIFS(Transactions!F:F,Transactions!C:C,A38,Transactions!B:B,"Receipt"))</f>
        <v/>
      </c>
      <c r="K38" s="7" t="str">
        <f>IF(ProductsTable[[#This Row],[Unit Cost]]="","",SUMIFS(Transactions!F:F,Transactions!C:C,A38,Transactions!B:B,"Issue"))</f>
        <v/>
      </c>
      <c r="L38" s="7" t="str">
        <f>IF(ProductsTable[[#This Row],[Unit Cost]]="","",SUMIFS(Transactions!F:F,Transactions!C:C,A38,Transactions!B:B,"Adjustment +")-SUMIFS(Transactions!F:F,Transactions!C:C,A38,Transactions!B:B,"Adjustment -"))</f>
        <v/>
      </c>
      <c r="M38" s="13">
        <f>IF(ProductsTable[[#This Row],[Unit Cost]]&lt;&gt;"",H38+J38-K38+L38,ProductsTable[[#This Row],[Unit Cost]])</f>
        <v>0</v>
      </c>
      <c r="N38" s="8" t="str">
        <f>IF(A38="","",IF(M38&lt;=ProductsTable[[#This Row],[Reorder Point]],"REORDER","OK"))</f>
        <v/>
      </c>
    </row>
    <row r="39" spans="1:14">
      <c r="A39" s="15"/>
      <c r="B39" s="15"/>
      <c r="C39" s="15"/>
      <c r="D39" s="15"/>
      <c r="E39" s="15"/>
      <c r="F39" s="15"/>
      <c r="G39" s="16"/>
      <c r="H39" s="17"/>
      <c r="I39" s="17"/>
      <c r="J39" s="7" t="str">
        <f>IF(ProductsTable[[#This Row],[Unit Cost]]="","",SUMIFS(Transactions!F:F,Transactions!C:C,A39,Transactions!B:B,"Receipt"))</f>
        <v/>
      </c>
      <c r="K39" s="7" t="str">
        <f>IF(ProductsTable[[#This Row],[Unit Cost]]="","",SUMIFS(Transactions!F:F,Transactions!C:C,A39,Transactions!B:B,"Issue"))</f>
        <v/>
      </c>
      <c r="L39" s="7" t="str">
        <f>IF(ProductsTable[[#This Row],[Unit Cost]]="","",SUMIFS(Transactions!F:F,Transactions!C:C,A39,Transactions!B:B,"Adjustment +")-SUMIFS(Transactions!F:F,Transactions!C:C,A39,Transactions!B:B,"Adjustment -"))</f>
        <v/>
      </c>
      <c r="M39" s="13">
        <f>IF(ProductsTable[[#This Row],[Unit Cost]]&lt;&gt;"",H39+J39-K39+L39,ProductsTable[[#This Row],[Unit Cost]])</f>
        <v>0</v>
      </c>
      <c r="N39" s="8" t="str">
        <f>IF(A39="","",IF(M39&lt;=ProductsTable[[#This Row],[Reorder Point]],"REORDER","OK"))</f>
        <v/>
      </c>
    </row>
    <row r="40" spans="1:14">
      <c r="A40" s="15"/>
      <c r="B40" s="15"/>
      <c r="C40" s="15"/>
      <c r="D40" s="15"/>
      <c r="E40" s="15"/>
      <c r="F40" s="15"/>
      <c r="G40" s="16"/>
      <c r="H40" s="17"/>
      <c r="I40" s="17"/>
      <c r="J40" s="7" t="str">
        <f>IF(ProductsTable[[#This Row],[Unit Cost]]="","",SUMIFS(Transactions!F:F,Transactions!C:C,A40,Transactions!B:B,"Receipt"))</f>
        <v/>
      </c>
      <c r="K40" s="7" t="str">
        <f>IF(ProductsTable[[#This Row],[Unit Cost]]="","",SUMIFS(Transactions!F:F,Transactions!C:C,A40,Transactions!B:B,"Issue"))</f>
        <v/>
      </c>
      <c r="L40" s="7" t="str">
        <f>IF(ProductsTable[[#This Row],[Unit Cost]]="","",SUMIFS(Transactions!F:F,Transactions!C:C,A40,Transactions!B:B,"Adjustment +")-SUMIFS(Transactions!F:F,Transactions!C:C,A40,Transactions!B:B,"Adjustment -"))</f>
        <v/>
      </c>
      <c r="M40" s="13">
        <f>IF(ProductsTable[[#This Row],[Unit Cost]]&lt;&gt;"",H40+J40-K40+L40,ProductsTable[[#This Row],[Unit Cost]])</f>
        <v>0</v>
      </c>
      <c r="N40" s="8" t="str">
        <f>IF(A40="","",IF(M40&lt;=ProductsTable[[#This Row],[Reorder Point]],"REORDER","OK"))</f>
        <v/>
      </c>
    </row>
    <row r="41" spans="1:14">
      <c r="A41" s="15"/>
      <c r="B41" s="15"/>
      <c r="C41" s="15"/>
      <c r="D41" s="15"/>
      <c r="E41" s="15"/>
      <c r="F41" s="15"/>
      <c r="G41" s="16"/>
      <c r="H41" s="17"/>
      <c r="I41" s="17"/>
      <c r="J41" s="7" t="str">
        <f>IF(ProductsTable[[#This Row],[Unit Cost]]="","",SUMIFS(Transactions!F:F,Transactions!C:C,A41,Transactions!B:B,"Receipt"))</f>
        <v/>
      </c>
      <c r="K41" s="7" t="str">
        <f>IF(ProductsTable[[#This Row],[Unit Cost]]="","",SUMIFS(Transactions!F:F,Transactions!C:C,A41,Transactions!B:B,"Issue"))</f>
        <v/>
      </c>
      <c r="L41" s="7" t="str">
        <f>IF(ProductsTable[[#This Row],[Unit Cost]]="","",SUMIFS(Transactions!F:F,Transactions!C:C,A41,Transactions!B:B,"Adjustment +")-SUMIFS(Transactions!F:F,Transactions!C:C,A41,Transactions!B:B,"Adjustment -"))</f>
        <v/>
      </c>
      <c r="M41" s="13">
        <f>IF(ProductsTable[[#This Row],[Unit Cost]]&lt;&gt;"",H41+J41-K41+L41,ProductsTable[[#This Row],[Unit Cost]])</f>
        <v>0</v>
      </c>
      <c r="N41" s="8" t="str">
        <f>IF(A41="","",IF(M41&lt;=ProductsTable[[#This Row],[Reorder Point]],"REORDER","OK"))</f>
        <v/>
      </c>
    </row>
    <row r="42" spans="1:14">
      <c r="A42" s="15"/>
      <c r="B42" s="15"/>
      <c r="C42" s="15"/>
      <c r="D42" s="15"/>
      <c r="E42" s="15"/>
      <c r="F42" s="15"/>
      <c r="G42" s="16"/>
      <c r="H42" s="17"/>
      <c r="I42" s="17"/>
      <c r="J42" s="7" t="str">
        <f>IF(ProductsTable[[#This Row],[Unit Cost]]="","",SUMIFS(Transactions!F:F,Transactions!C:C,A42,Transactions!B:B,"Receipt"))</f>
        <v/>
      </c>
      <c r="K42" s="7" t="str">
        <f>IF(ProductsTable[[#This Row],[Unit Cost]]="","",SUMIFS(Transactions!F:F,Transactions!C:C,A42,Transactions!B:B,"Issue"))</f>
        <v/>
      </c>
      <c r="L42" s="7" t="str">
        <f>IF(ProductsTable[[#This Row],[Unit Cost]]="","",SUMIFS(Transactions!F:F,Transactions!C:C,A42,Transactions!B:B,"Adjustment +")-SUMIFS(Transactions!F:F,Transactions!C:C,A42,Transactions!B:B,"Adjustment -"))</f>
        <v/>
      </c>
      <c r="M42" s="13">
        <f>IF(ProductsTable[[#This Row],[Unit Cost]]&lt;&gt;"",H42+J42-K42+L42,ProductsTable[[#This Row],[Unit Cost]])</f>
        <v>0</v>
      </c>
      <c r="N42" s="8" t="str">
        <f>IF(A42="","",IF(M42&lt;=ProductsTable[[#This Row],[Reorder Point]],"REORDER","OK"))</f>
        <v/>
      </c>
    </row>
    <row r="43" spans="1:14">
      <c r="A43" s="15"/>
      <c r="B43" s="15"/>
      <c r="C43" s="15"/>
      <c r="D43" s="15"/>
      <c r="E43" s="15"/>
      <c r="F43" s="15"/>
      <c r="G43" s="16"/>
      <c r="H43" s="17"/>
      <c r="I43" s="17"/>
      <c r="J43" s="7" t="str">
        <f>IF(ProductsTable[[#This Row],[Unit Cost]]="","",SUMIFS(Transactions!F:F,Transactions!C:C,A43,Transactions!B:B,"Receipt"))</f>
        <v/>
      </c>
      <c r="K43" s="7" t="str">
        <f>IF(ProductsTable[[#This Row],[Unit Cost]]="","",SUMIFS(Transactions!F:F,Transactions!C:C,A43,Transactions!B:B,"Issue"))</f>
        <v/>
      </c>
      <c r="L43" s="7" t="str">
        <f>IF(ProductsTable[[#This Row],[Unit Cost]]="","",SUMIFS(Transactions!F:F,Transactions!C:C,A43,Transactions!B:B,"Adjustment +")-SUMIFS(Transactions!F:F,Transactions!C:C,A43,Transactions!B:B,"Adjustment -"))</f>
        <v/>
      </c>
      <c r="M43" s="13">
        <f>IF(ProductsTable[[#This Row],[Unit Cost]]&lt;&gt;"",H43+J43-K43+L43,ProductsTable[[#This Row],[Unit Cost]])</f>
        <v>0</v>
      </c>
      <c r="N43" s="8" t="str">
        <f>IF(A43="","",IF(M43&lt;=ProductsTable[[#This Row],[Reorder Point]],"REORDER","OK"))</f>
        <v/>
      </c>
    </row>
    <row r="44" spans="1:14">
      <c r="A44" s="15"/>
      <c r="B44" s="15"/>
      <c r="C44" s="15"/>
      <c r="D44" s="15"/>
      <c r="E44" s="15"/>
      <c r="F44" s="15"/>
      <c r="G44" s="16"/>
      <c r="H44" s="17"/>
      <c r="I44" s="17"/>
      <c r="J44" s="7" t="str">
        <f>IF(ProductsTable[[#This Row],[Unit Cost]]="","",SUMIFS(Transactions!F:F,Transactions!C:C,A44,Transactions!B:B,"Receipt"))</f>
        <v/>
      </c>
      <c r="K44" s="7" t="str">
        <f>IF(ProductsTable[[#This Row],[Unit Cost]]="","",SUMIFS(Transactions!F:F,Transactions!C:C,A44,Transactions!B:B,"Issue"))</f>
        <v/>
      </c>
      <c r="L44" s="7" t="str">
        <f>IF(ProductsTable[[#This Row],[Unit Cost]]="","",SUMIFS(Transactions!F:F,Transactions!C:C,A44,Transactions!B:B,"Adjustment +")-SUMIFS(Transactions!F:F,Transactions!C:C,A44,Transactions!B:B,"Adjustment -"))</f>
        <v/>
      </c>
      <c r="M44" s="13">
        <f>IF(ProductsTable[[#This Row],[Unit Cost]]&lt;&gt;"",H44+J44-K44+L44,ProductsTable[[#This Row],[Unit Cost]])</f>
        <v>0</v>
      </c>
      <c r="N44" s="8" t="str">
        <f>IF(A44="","",IF(M44&lt;=ProductsTable[[#This Row],[Reorder Point]],"REORDER","OK"))</f>
        <v/>
      </c>
    </row>
    <row r="45" spans="1:14">
      <c r="A45" s="15"/>
      <c r="B45" s="15"/>
      <c r="C45" s="15"/>
      <c r="D45" s="15"/>
      <c r="E45" s="15"/>
      <c r="F45" s="15"/>
      <c r="G45" s="16"/>
      <c r="H45" s="17"/>
      <c r="I45" s="17"/>
      <c r="J45" s="7" t="str">
        <f>IF(ProductsTable[[#This Row],[Unit Cost]]="","",SUMIFS(Transactions!F:F,Transactions!C:C,A45,Transactions!B:B,"Receipt"))</f>
        <v/>
      </c>
      <c r="K45" s="7" t="str">
        <f>IF(ProductsTable[[#This Row],[Unit Cost]]="","",SUMIFS(Transactions!F:F,Transactions!C:C,A45,Transactions!B:B,"Issue"))</f>
        <v/>
      </c>
      <c r="L45" s="7" t="str">
        <f>IF(ProductsTable[[#This Row],[Unit Cost]]="","",SUMIFS(Transactions!F:F,Transactions!C:C,A45,Transactions!B:B,"Adjustment +")-SUMIFS(Transactions!F:F,Transactions!C:C,A45,Transactions!B:B,"Adjustment -"))</f>
        <v/>
      </c>
      <c r="M45" s="13">
        <f>IF(ProductsTable[[#This Row],[Unit Cost]]&lt;&gt;"",H45+J45-K45+L45,ProductsTable[[#This Row],[Unit Cost]])</f>
        <v>0</v>
      </c>
      <c r="N45" s="8" t="str">
        <f>IF(A45="","",IF(M45&lt;=ProductsTable[[#This Row],[Reorder Point]],"REORDER","OK"))</f>
        <v/>
      </c>
    </row>
    <row r="46" spans="1:14">
      <c r="A46" s="15"/>
      <c r="B46" s="15"/>
      <c r="C46" s="15"/>
      <c r="D46" s="15"/>
      <c r="E46" s="15"/>
      <c r="F46" s="15"/>
      <c r="G46" s="16"/>
      <c r="H46" s="17"/>
      <c r="I46" s="17"/>
      <c r="J46" s="7" t="str">
        <f>IF(ProductsTable[[#This Row],[Unit Cost]]="","",SUMIFS(Transactions!F:F,Transactions!C:C,A46,Transactions!B:B,"Receipt"))</f>
        <v/>
      </c>
      <c r="K46" s="7" t="str">
        <f>IF(ProductsTable[[#This Row],[Unit Cost]]="","",SUMIFS(Transactions!F:F,Transactions!C:C,A46,Transactions!B:B,"Issue"))</f>
        <v/>
      </c>
      <c r="L46" s="7" t="str">
        <f>IF(ProductsTable[[#This Row],[Unit Cost]]="","",SUMIFS(Transactions!F:F,Transactions!C:C,A46,Transactions!B:B,"Adjustment +")-SUMIFS(Transactions!F:F,Transactions!C:C,A46,Transactions!B:B,"Adjustment -"))</f>
        <v/>
      </c>
      <c r="M46" s="13">
        <f>IF(ProductsTable[[#This Row],[Unit Cost]]&lt;&gt;"",H46+J46-K46+L46,ProductsTable[[#This Row],[Unit Cost]])</f>
        <v>0</v>
      </c>
      <c r="N46" s="8" t="str">
        <f>IF(A46="","",IF(M46&lt;=ProductsTable[[#This Row],[Reorder Point]],"REORDER","OK"))</f>
        <v/>
      </c>
    </row>
    <row r="47" spans="1:14">
      <c r="A47" s="15"/>
      <c r="B47" s="15"/>
      <c r="C47" s="15"/>
      <c r="D47" s="15"/>
      <c r="E47" s="15"/>
      <c r="F47" s="15"/>
      <c r="G47" s="16"/>
      <c r="H47" s="17"/>
      <c r="I47" s="17"/>
      <c r="J47" s="7" t="str">
        <f>IF(ProductsTable[[#This Row],[Unit Cost]]="","",SUMIFS(Transactions!F:F,Transactions!C:C,A47,Transactions!B:B,"Receipt"))</f>
        <v/>
      </c>
      <c r="K47" s="7" t="str">
        <f>IF(ProductsTable[[#This Row],[Unit Cost]]="","",SUMIFS(Transactions!F:F,Transactions!C:C,A47,Transactions!B:B,"Issue"))</f>
        <v/>
      </c>
      <c r="L47" s="7" t="str">
        <f>IF(ProductsTable[[#This Row],[Unit Cost]]="","",SUMIFS(Transactions!F:F,Transactions!C:C,A47,Transactions!B:B,"Adjustment +")-SUMIFS(Transactions!F:F,Transactions!C:C,A47,Transactions!B:B,"Adjustment -"))</f>
        <v/>
      </c>
      <c r="M47" s="13">
        <f>IF(ProductsTable[[#This Row],[Unit Cost]]&lt;&gt;"",H47+J47-K47+L47,ProductsTable[[#This Row],[Unit Cost]])</f>
        <v>0</v>
      </c>
      <c r="N47" s="8" t="str">
        <f>IF(A47="","",IF(M47&lt;=ProductsTable[[#This Row],[Reorder Point]],"REORDER","OK"))</f>
        <v/>
      </c>
    </row>
    <row r="48" spans="1:14">
      <c r="A48" s="15"/>
      <c r="B48" s="15"/>
      <c r="C48" s="15"/>
      <c r="D48" s="15"/>
      <c r="E48" s="15"/>
      <c r="F48" s="15"/>
      <c r="G48" s="16"/>
      <c r="H48" s="17"/>
      <c r="I48" s="17"/>
      <c r="J48" s="7" t="str">
        <f>IF(ProductsTable[[#This Row],[Unit Cost]]="","",SUMIFS(Transactions!F:F,Transactions!C:C,A48,Transactions!B:B,"Receipt"))</f>
        <v/>
      </c>
      <c r="K48" s="7" t="str">
        <f>IF(ProductsTable[[#This Row],[Unit Cost]]="","",SUMIFS(Transactions!F:F,Transactions!C:C,A48,Transactions!B:B,"Issue"))</f>
        <v/>
      </c>
      <c r="L48" s="7" t="str">
        <f>IF(ProductsTable[[#This Row],[Unit Cost]]="","",SUMIFS(Transactions!F:F,Transactions!C:C,A48,Transactions!B:B,"Adjustment +")-SUMIFS(Transactions!F:F,Transactions!C:C,A48,Transactions!B:B,"Adjustment -"))</f>
        <v/>
      </c>
      <c r="M48" s="13">
        <f>IF(ProductsTable[[#This Row],[Unit Cost]]&lt;&gt;"",H48+J48-K48+L48,ProductsTable[[#This Row],[Unit Cost]])</f>
        <v>0</v>
      </c>
      <c r="N48" s="8" t="str">
        <f>IF(A48="","",IF(M48&lt;=ProductsTable[[#This Row],[Reorder Point]],"REORDER","OK"))</f>
        <v/>
      </c>
    </row>
    <row r="49" spans="1:14">
      <c r="A49" s="15"/>
      <c r="B49" s="15"/>
      <c r="C49" s="15"/>
      <c r="D49" s="15"/>
      <c r="E49" s="15"/>
      <c r="F49" s="15"/>
      <c r="G49" s="16"/>
      <c r="H49" s="17"/>
      <c r="I49" s="17"/>
      <c r="J49" s="7" t="str">
        <f>IF(ProductsTable[[#This Row],[Unit Cost]]="","",SUMIFS(Transactions!F:F,Transactions!C:C,A49,Transactions!B:B,"Receipt"))</f>
        <v/>
      </c>
      <c r="K49" s="7" t="str">
        <f>IF(ProductsTable[[#This Row],[Unit Cost]]="","",SUMIFS(Transactions!F:F,Transactions!C:C,A49,Transactions!B:B,"Issue"))</f>
        <v/>
      </c>
      <c r="L49" s="7" t="str">
        <f>IF(ProductsTable[[#This Row],[Unit Cost]]="","",SUMIFS(Transactions!F:F,Transactions!C:C,A49,Transactions!B:B,"Adjustment +")-SUMIFS(Transactions!F:F,Transactions!C:C,A49,Transactions!B:B,"Adjustment -"))</f>
        <v/>
      </c>
      <c r="M49" s="13">
        <f>IF(ProductsTable[[#This Row],[Unit Cost]]&lt;&gt;"",H49+J49-K49+L49,ProductsTable[[#This Row],[Unit Cost]])</f>
        <v>0</v>
      </c>
      <c r="N49" s="8" t="str">
        <f>IF(A49="","",IF(M49&lt;=ProductsTable[[#This Row],[Reorder Point]],"REORDER","OK"))</f>
        <v/>
      </c>
    </row>
    <row r="50" spans="1:14">
      <c r="A50" s="15"/>
      <c r="B50" s="15"/>
      <c r="C50" s="15"/>
      <c r="D50" s="15"/>
      <c r="E50" s="15"/>
      <c r="F50" s="15"/>
      <c r="G50" s="16"/>
      <c r="H50" s="17"/>
      <c r="I50" s="17"/>
      <c r="J50" s="7" t="str">
        <f>IF(ProductsTable[[#This Row],[Unit Cost]]="","",SUMIFS(Transactions!F:F,Transactions!C:C,A50,Transactions!B:B,"Receipt"))</f>
        <v/>
      </c>
      <c r="K50" s="7" t="str">
        <f>IF(ProductsTable[[#This Row],[Unit Cost]]="","",SUMIFS(Transactions!F:F,Transactions!C:C,A50,Transactions!B:B,"Issue"))</f>
        <v/>
      </c>
      <c r="L50" s="7" t="str">
        <f>IF(ProductsTable[[#This Row],[Unit Cost]]="","",SUMIFS(Transactions!F:F,Transactions!C:C,A50,Transactions!B:B,"Adjustment +")-SUMIFS(Transactions!F:F,Transactions!C:C,A50,Transactions!B:B,"Adjustment -"))</f>
        <v/>
      </c>
      <c r="M50" s="13">
        <f>IF(ProductsTable[[#This Row],[Unit Cost]]&lt;&gt;"",H50+J50-K50+L50,ProductsTable[[#This Row],[Unit Cost]])</f>
        <v>0</v>
      </c>
      <c r="N50" s="8" t="str">
        <f>IF(A50="","",IF(M50&lt;=ProductsTable[[#This Row],[Reorder Point]],"REORDER","OK"))</f>
        <v/>
      </c>
    </row>
    <row r="51" spans="1:14">
      <c r="A51" s="15"/>
      <c r="B51" s="15"/>
      <c r="C51" s="15"/>
      <c r="D51" s="15"/>
      <c r="E51" s="15"/>
      <c r="F51" s="15"/>
      <c r="G51" s="16"/>
      <c r="H51" s="17"/>
      <c r="I51" s="17"/>
      <c r="J51" s="7" t="str">
        <f>IF(ProductsTable[[#This Row],[Unit Cost]]="","",SUMIFS(Transactions!F:F,Transactions!C:C,A51,Transactions!B:B,"Receipt"))</f>
        <v/>
      </c>
      <c r="K51" s="7" t="str">
        <f>IF(ProductsTable[[#This Row],[Unit Cost]]="","",SUMIFS(Transactions!F:F,Transactions!C:C,A51,Transactions!B:B,"Issue"))</f>
        <v/>
      </c>
      <c r="L51" s="7" t="str">
        <f>IF(ProductsTable[[#This Row],[Unit Cost]]="","",SUMIFS(Transactions!F:F,Transactions!C:C,A51,Transactions!B:B,"Adjustment +")-SUMIFS(Transactions!F:F,Transactions!C:C,A51,Transactions!B:B,"Adjustment -"))</f>
        <v/>
      </c>
      <c r="M51" s="13">
        <f>IF(ProductsTable[[#This Row],[Unit Cost]]&lt;&gt;"",H51+J51-K51+L51,ProductsTable[[#This Row],[Unit Cost]])</f>
        <v>0</v>
      </c>
      <c r="N51" s="8" t="str">
        <f>IF(A51="","",IF(M51&lt;=ProductsTable[[#This Row],[Reorder Point]],"REORDER","OK"))</f>
        <v/>
      </c>
    </row>
    <row r="52" spans="1:14">
      <c r="A52" s="15"/>
      <c r="B52" s="15"/>
      <c r="C52" s="15"/>
      <c r="D52" s="15"/>
      <c r="E52" s="15"/>
      <c r="F52" s="15"/>
      <c r="G52" s="16"/>
      <c r="H52" s="17"/>
      <c r="I52" s="17"/>
      <c r="J52" s="7" t="str">
        <f>IF(ProductsTable[[#This Row],[Unit Cost]]="","",SUMIFS(Transactions!F:F,Transactions!C:C,A52,Transactions!B:B,"Receipt"))</f>
        <v/>
      </c>
      <c r="K52" s="7" t="str">
        <f>IF(ProductsTable[[#This Row],[Unit Cost]]="","",SUMIFS(Transactions!F:F,Transactions!C:C,A52,Transactions!B:B,"Issue"))</f>
        <v/>
      </c>
      <c r="L52" s="7" t="str">
        <f>IF(ProductsTable[[#This Row],[Unit Cost]]="","",SUMIFS(Transactions!F:F,Transactions!C:C,A52,Transactions!B:B,"Adjustment +")-SUMIFS(Transactions!F:F,Transactions!C:C,A52,Transactions!B:B,"Adjustment -"))</f>
        <v/>
      </c>
      <c r="M52" s="13">
        <f>IF(ProductsTable[[#This Row],[Unit Cost]]&lt;&gt;"",H52+J52-K52+L52,ProductsTable[[#This Row],[Unit Cost]])</f>
        <v>0</v>
      </c>
      <c r="N52" s="8" t="str">
        <f>IF(A52="","",IF(M52&lt;=ProductsTable[[#This Row],[Reorder Point]],"REORDER","OK"))</f>
        <v/>
      </c>
    </row>
    <row r="53" spans="1:14">
      <c r="A53" s="15"/>
      <c r="B53" s="15"/>
      <c r="C53" s="15"/>
      <c r="D53" s="15"/>
      <c r="E53" s="15"/>
      <c r="F53" s="15"/>
      <c r="G53" s="16"/>
      <c r="H53" s="17"/>
      <c r="I53" s="17"/>
      <c r="J53" s="7" t="str">
        <f>IF(ProductsTable[[#This Row],[Unit Cost]]="","",SUMIFS(Transactions!F:F,Transactions!C:C,A53,Transactions!B:B,"Receipt"))</f>
        <v/>
      </c>
      <c r="K53" s="7" t="str">
        <f>IF(ProductsTable[[#This Row],[Unit Cost]]="","",SUMIFS(Transactions!F:F,Transactions!C:C,A53,Transactions!B:B,"Issue"))</f>
        <v/>
      </c>
      <c r="L53" s="7" t="str">
        <f>IF(ProductsTable[[#This Row],[Unit Cost]]="","",SUMIFS(Transactions!F:F,Transactions!C:C,A53,Transactions!B:B,"Adjustment +")-SUMIFS(Transactions!F:F,Transactions!C:C,A53,Transactions!B:B,"Adjustment -"))</f>
        <v/>
      </c>
      <c r="M53" s="13">
        <f>IF(ProductsTable[[#This Row],[Unit Cost]]&lt;&gt;"",H53+J53-K53+L53,ProductsTable[[#This Row],[Unit Cost]])</f>
        <v>0</v>
      </c>
      <c r="N53" s="8" t="str">
        <f>IF(A53="","",IF(M53&lt;=ProductsTable[[#This Row],[Reorder Point]],"REORDER","OK"))</f>
        <v/>
      </c>
    </row>
    <row r="54" spans="1:14">
      <c r="A54" s="15"/>
      <c r="B54" s="15"/>
      <c r="C54" s="15"/>
      <c r="D54" s="15"/>
      <c r="E54" s="15"/>
      <c r="F54" s="15"/>
      <c r="G54" s="16"/>
      <c r="H54" s="17"/>
      <c r="I54" s="17"/>
      <c r="J54" s="7" t="str">
        <f>IF(ProductsTable[[#This Row],[Unit Cost]]="","",SUMIFS(Transactions!F:F,Transactions!C:C,A54,Transactions!B:B,"Receipt"))</f>
        <v/>
      </c>
      <c r="K54" s="7" t="str">
        <f>IF(ProductsTable[[#This Row],[Unit Cost]]="","",SUMIFS(Transactions!F:F,Transactions!C:C,A54,Transactions!B:B,"Issue"))</f>
        <v/>
      </c>
      <c r="L54" s="7" t="str">
        <f>IF(ProductsTable[[#This Row],[Unit Cost]]="","",SUMIFS(Transactions!F:F,Transactions!C:C,A54,Transactions!B:B,"Adjustment +")-SUMIFS(Transactions!F:F,Transactions!C:C,A54,Transactions!B:B,"Adjustment -"))</f>
        <v/>
      </c>
      <c r="M54" s="13">
        <f>IF(ProductsTable[[#This Row],[Unit Cost]]&lt;&gt;"",H54+J54-K54+L54,ProductsTable[[#This Row],[Unit Cost]])</f>
        <v>0</v>
      </c>
      <c r="N54" s="8" t="str">
        <f>IF(A54="","",IF(M54&lt;=ProductsTable[[#This Row],[Reorder Point]],"REORDER","OK"))</f>
        <v/>
      </c>
    </row>
    <row r="55" spans="1:14">
      <c r="A55" s="15"/>
      <c r="B55" s="15"/>
      <c r="C55" s="15"/>
      <c r="D55" s="15"/>
      <c r="E55" s="15"/>
      <c r="F55" s="15"/>
      <c r="G55" s="16"/>
      <c r="H55" s="17"/>
      <c r="I55" s="17"/>
      <c r="J55" s="7" t="str">
        <f>IF(ProductsTable[[#This Row],[Unit Cost]]="","",SUMIFS(Transactions!F:F,Transactions!C:C,A55,Transactions!B:B,"Receipt"))</f>
        <v/>
      </c>
      <c r="K55" s="7" t="str">
        <f>IF(ProductsTable[[#This Row],[Unit Cost]]="","",SUMIFS(Transactions!F:F,Transactions!C:C,A55,Transactions!B:B,"Issue"))</f>
        <v/>
      </c>
      <c r="L55" s="7" t="str">
        <f>IF(ProductsTable[[#This Row],[Unit Cost]]="","",SUMIFS(Transactions!F:F,Transactions!C:C,A55,Transactions!B:B,"Adjustment +")-SUMIFS(Transactions!F:F,Transactions!C:C,A55,Transactions!B:B,"Adjustment -"))</f>
        <v/>
      </c>
      <c r="M55" s="13">
        <f>IF(ProductsTable[[#This Row],[Unit Cost]]&lt;&gt;"",H55+J55-K55+L55,ProductsTable[[#This Row],[Unit Cost]])</f>
        <v>0</v>
      </c>
      <c r="N55" s="8" t="str">
        <f>IF(A55="","",IF(M55&lt;=ProductsTable[[#This Row],[Reorder Point]],"REORDER","OK"))</f>
        <v/>
      </c>
    </row>
    <row r="56" spans="1:14">
      <c r="A56" s="15"/>
      <c r="B56" s="15"/>
      <c r="C56" s="15"/>
      <c r="D56" s="15"/>
      <c r="E56" s="15"/>
      <c r="F56" s="15"/>
      <c r="G56" s="16"/>
      <c r="H56" s="17"/>
      <c r="I56" s="17"/>
      <c r="J56" s="7" t="str">
        <f>IF(ProductsTable[[#This Row],[Unit Cost]]="","",SUMIFS(Transactions!F:F,Transactions!C:C,A56,Transactions!B:B,"Receipt"))</f>
        <v/>
      </c>
      <c r="K56" s="7" t="str">
        <f>IF(ProductsTable[[#This Row],[Unit Cost]]="","",SUMIFS(Transactions!F:F,Transactions!C:C,A56,Transactions!B:B,"Issue"))</f>
        <v/>
      </c>
      <c r="L56" s="7" t="str">
        <f>IF(ProductsTable[[#This Row],[Unit Cost]]="","",SUMIFS(Transactions!F:F,Transactions!C:C,A56,Transactions!B:B,"Adjustment +")-SUMIFS(Transactions!F:F,Transactions!C:C,A56,Transactions!B:B,"Adjustment -"))</f>
        <v/>
      </c>
      <c r="M56" s="13">
        <f>IF(ProductsTable[[#This Row],[Unit Cost]]&lt;&gt;"",H56+J56-K56+L56,ProductsTable[[#This Row],[Unit Cost]])</f>
        <v>0</v>
      </c>
      <c r="N56" s="8" t="str">
        <f>IF(A56="","",IF(M56&lt;=ProductsTable[[#This Row],[Reorder Point]],"REORDER","OK"))</f>
        <v/>
      </c>
    </row>
    <row r="57" spans="1:14">
      <c r="A57" s="15"/>
      <c r="B57" s="15"/>
      <c r="C57" s="15"/>
      <c r="D57" s="15"/>
      <c r="E57" s="15"/>
      <c r="F57" s="15"/>
      <c r="G57" s="16"/>
      <c r="H57" s="17"/>
      <c r="I57" s="17"/>
      <c r="J57" s="7" t="str">
        <f>IF(ProductsTable[[#This Row],[Unit Cost]]="","",SUMIFS(Transactions!F:F,Transactions!C:C,A57,Transactions!B:B,"Receipt"))</f>
        <v/>
      </c>
      <c r="K57" s="7" t="str">
        <f>IF(ProductsTable[[#This Row],[Unit Cost]]="","",SUMIFS(Transactions!F:F,Transactions!C:C,A57,Transactions!B:B,"Issue"))</f>
        <v/>
      </c>
      <c r="L57" s="7" t="str">
        <f>IF(ProductsTable[[#This Row],[Unit Cost]]="","",SUMIFS(Transactions!F:F,Transactions!C:C,A57,Transactions!B:B,"Adjustment +")-SUMIFS(Transactions!F:F,Transactions!C:C,A57,Transactions!B:B,"Adjustment -"))</f>
        <v/>
      </c>
      <c r="M57" s="13">
        <f>IF(ProductsTable[[#This Row],[Unit Cost]]&lt;&gt;"",H57+J57-K57+L57,ProductsTable[[#This Row],[Unit Cost]])</f>
        <v>0</v>
      </c>
      <c r="N57" s="8" t="str">
        <f>IF(A57="","",IF(M57&lt;=ProductsTable[[#This Row],[Reorder Point]],"REORDER","OK"))</f>
        <v/>
      </c>
    </row>
    <row r="58" spans="1:14">
      <c r="A58" s="15"/>
      <c r="B58" s="15"/>
      <c r="C58" s="15"/>
      <c r="D58" s="15"/>
      <c r="E58" s="15"/>
      <c r="F58" s="15"/>
      <c r="G58" s="16"/>
      <c r="H58" s="17"/>
      <c r="I58" s="17"/>
      <c r="J58" s="7" t="str">
        <f>IF(ProductsTable[[#This Row],[Unit Cost]]="","",SUMIFS(Transactions!F:F,Transactions!C:C,A58,Transactions!B:B,"Receipt"))</f>
        <v/>
      </c>
      <c r="K58" s="7" t="str">
        <f>IF(ProductsTable[[#This Row],[Unit Cost]]="","",SUMIFS(Transactions!F:F,Transactions!C:C,A58,Transactions!B:B,"Issue"))</f>
        <v/>
      </c>
      <c r="L58" s="7" t="str">
        <f>IF(ProductsTable[[#This Row],[Unit Cost]]="","",SUMIFS(Transactions!F:F,Transactions!C:C,A58,Transactions!B:B,"Adjustment +")-SUMIFS(Transactions!F:F,Transactions!C:C,A58,Transactions!B:B,"Adjustment -"))</f>
        <v/>
      </c>
      <c r="M58" s="13">
        <f>IF(ProductsTable[[#This Row],[Unit Cost]]&lt;&gt;"",H58+J58-K58+L58,ProductsTable[[#This Row],[Unit Cost]])</f>
        <v>0</v>
      </c>
      <c r="N58" s="8" t="str">
        <f>IF(A58="","",IF(M58&lt;=ProductsTable[[#This Row],[Reorder Point]],"REORDER","OK"))</f>
        <v/>
      </c>
    </row>
    <row r="59" spans="1:14">
      <c r="A59" s="15"/>
      <c r="B59" s="15"/>
      <c r="C59" s="15"/>
      <c r="D59" s="15"/>
      <c r="E59" s="15"/>
      <c r="F59" s="15"/>
      <c r="G59" s="16"/>
      <c r="H59" s="17"/>
      <c r="I59" s="17"/>
      <c r="J59" s="7" t="str">
        <f>IF(ProductsTable[[#This Row],[Unit Cost]]="","",SUMIFS(Transactions!F:F,Transactions!C:C,A59,Transactions!B:B,"Receipt"))</f>
        <v/>
      </c>
      <c r="K59" s="7" t="str">
        <f>IF(ProductsTable[[#This Row],[Unit Cost]]="","",SUMIFS(Transactions!F:F,Transactions!C:C,A59,Transactions!B:B,"Issue"))</f>
        <v/>
      </c>
      <c r="L59" s="7" t="str">
        <f>IF(ProductsTable[[#This Row],[Unit Cost]]="","",SUMIFS(Transactions!F:F,Transactions!C:C,A59,Transactions!B:B,"Adjustment +")-SUMIFS(Transactions!F:F,Transactions!C:C,A59,Transactions!B:B,"Adjustment -"))</f>
        <v/>
      </c>
      <c r="M59" s="13">
        <f>IF(ProductsTable[[#This Row],[Unit Cost]]&lt;&gt;"",H59+J59-K59+L59,ProductsTable[[#This Row],[Unit Cost]])</f>
        <v>0</v>
      </c>
      <c r="N59" s="8" t="str">
        <f>IF(A59="","",IF(M59&lt;=ProductsTable[[#This Row],[Reorder Point]],"REORDER","OK"))</f>
        <v/>
      </c>
    </row>
    <row r="60" spans="1:14">
      <c r="A60" s="15"/>
      <c r="B60" s="15"/>
      <c r="C60" s="15"/>
      <c r="D60" s="15"/>
      <c r="E60" s="15"/>
      <c r="F60" s="15"/>
      <c r="G60" s="16"/>
      <c r="H60" s="17"/>
      <c r="I60" s="17"/>
      <c r="J60" s="7" t="str">
        <f>IF(ProductsTable[[#This Row],[Unit Cost]]="","",SUMIFS(Transactions!F:F,Transactions!C:C,A60,Transactions!B:B,"Receipt"))</f>
        <v/>
      </c>
      <c r="K60" s="7" t="str">
        <f>IF(ProductsTable[[#This Row],[Unit Cost]]="","",SUMIFS(Transactions!F:F,Transactions!C:C,A60,Transactions!B:B,"Issue"))</f>
        <v/>
      </c>
      <c r="L60" s="7" t="str">
        <f>IF(ProductsTable[[#This Row],[Unit Cost]]="","",SUMIFS(Transactions!F:F,Transactions!C:C,A60,Transactions!B:B,"Adjustment +")-SUMIFS(Transactions!F:F,Transactions!C:C,A60,Transactions!B:B,"Adjustment -"))</f>
        <v/>
      </c>
      <c r="M60" s="13">
        <f>IF(ProductsTable[[#This Row],[Unit Cost]]&lt;&gt;"",H60+J60-K60+L60,ProductsTable[[#This Row],[Unit Cost]])</f>
        <v>0</v>
      </c>
      <c r="N60" s="8" t="str">
        <f>IF(A60="","",IF(M60&lt;=ProductsTable[[#This Row],[Reorder Point]],"REORDER","OK"))</f>
        <v/>
      </c>
    </row>
    <row r="61" spans="1:14">
      <c r="A61" s="15"/>
      <c r="B61" s="15"/>
      <c r="C61" s="15"/>
      <c r="D61" s="15"/>
      <c r="E61" s="15"/>
      <c r="F61" s="15"/>
      <c r="G61" s="16"/>
      <c r="H61" s="17"/>
      <c r="I61" s="17"/>
      <c r="J61" s="7" t="str">
        <f>IF(ProductsTable[[#This Row],[Unit Cost]]="","",SUMIFS(Transactions!F:F,Transactions!C:C,A61,Transactions!B:B,"Receipt"))</f>
        <v/>
      </c>
      <c r="K61" s="7" t="str">
        <f>IF(ProductsTable[[#This Row],[Unit Cost]]="","",SUMIFS(Transactions!F:F,Transactions!C:C,A61,Transactions!B:B,"Issue"))</f>
        <v/>
      </c>
      <c r="L61" s="7" t="str">
        <f>IF(ProductsTable[[#This Row],[Unit Cost]]="","",SUMIFS(Transactions!F:F,Transactions!C:C,A61,Transactions!B:B,"Adjustment +")-SUMIFS(Transactions!F:F,Transactions!C:C,A61,Transactions!B:B,"Adjustment -"))</f>
        <v/>
      </c>
      <c r="M61" s="13">
        <f>IF(ProductsTable[[#This Row],[Unit Cost]]&lt;&gt;"",H61+J61-K61+L61,ProductsTable[[#This Row],[Unit Cost]])</f>
        <v>0</v>
      </c>
      <c r="N61" s="8" t="str">
        <f>IF(A61="","",IF(M61&lt;=ProductsTable[[#This Row],[Reorder Point]],"REORDER","OK"))</f>
        <v/>
      </c>
    </row>
    <row r="62" spans="1:14">
      <c r="A62" s="15"/>
      <c r="B62" s="15"/>
      <c r="C62" s="15"/>
      <c r="D62" s="15"/>
      <c r="E62" s="15"/>
      <c r="F62" s="15"/>
      <c r="G62" s="16"/>
      <c r="H62" s="17"/>
      <c r="I62" s="17"/>
      <c r="J62" s="7" t="str">
        <f>IF(ProductsTable[[#This Row],[Unit Cost]]="","",SUMIFS(Transactions!F:F,Transactions!C:C,A62,Transactions!B:B,"Receipt"))</f>
        <v/>
      </c>
      <c r="K62" s="7" t="str">
        <f>IF(ProductsTable[[#This Row],[Unit Cost]]="","",SUMIFS(Transactions!F:F,Transactions!C:C,A62,Transactions!B:B,"Issue"))</f>
        <v/>
      </c>
      <c r="L62" s="7" t="str">
        <f>IF(ProductsTable[[#This Row],[Unit Cost]]="","",SUMIFS(Transactions!F:F,Transactions!C:C,A62,Transactions!B:B,"Adjustment +")-SUMIFS(Transactions!F:F,Transactions!C:C,A62,Transactions!B:B,"Adjustment -"))</f>
        <v/>
      </c>
      <c r="M62" s="13">
        <f>IF(ProductsTable[[#This Row],[Unit Cost]]&lt;&gt;"",H62+J62-K62+L62,ProductsTable[[#This Row],[Unit Cost]])</f>
        <v>0</v>
      </c>
      <c r="N62" s="8" t="str">
        <f>IF(A62="","",IF(M62&lt;=ProductsTable[[#This Row],[Reorder Point]],"REORDER","OK"))</f>
        <v/>
      </c>
    </row>
    <row r="63" spans="1:14">
      <c r="A63" s="15"/>
      <c r="B63" s="15"/>
      <c r="C63" s="15"/>
      <c r="D63" s="15"/>
      <c r="E63" s="15"/>
      <c r="F63" s="15"/>
      <c r="G63" s="16"/>
      <c r="H63" s="17"/>
      <c r="I63" s="17"/>
      <c r="J63" s="7" t="str">
        <f>IF(ProductsTable[[#This Row],[Unit Cost]]="","",SUMIFS(Transactions!F:F,Transactions!C:C,A63,Transactions!B:B,"Receipt"))</f>
        <v/>
      </c>
      <c r="K63" s="7" t="str">
        <f>IF(ProductsTable[[#This Row],[Unit Cost]]="","",SUMIFS(Transactions!F:F,Transactions!C:C,A63,Transactions!B:B,"Issue"))</f>
        <v/>
      </c>
      <c r="L63" s="7" t="str">
        <f>IF(ProductsTable[[#This Row],[Unit Cost]]="","",SUMIFS(Transactions!F:F,Transactions!C:C,A63,Transactions!B:B,"Adjustment +")-SUMIFS(Transactions!F:F,Transactions!C:C,A63,Transactions!B:B,"Adjustment -"))</f>
        <v/>
      </c>
      <c r="M63" s="13">
        <f>IF(ProductsTable[[#This Row],[Unit Cost]]&lt;&gt;"",H63+J63-K63+L63,ProductsTable[[#This Row],[Unit Cost]])</f>
        <v>0</v>
      </c>
      <c r="N63" s="8" t="str">
        <f>IF(A63="","",IF(M63&lt;=ProductsTable[[#This Row],[Reorder Point]],"REORDER","OK"))</f>
        <v/>
      </c>
    </row>
    <row r="64" spans="1:14">
      <c r="A64" s="15"/>
      <c r="B64" s="15"/>
      <c r="C64" s="15"/>
      <c r="D64" s="15"/>
      <c r="E64" s="15"/>
      <c r="F64" s="15"/>
      <c r="G64" s="16"/>
      <c r="H64" s="17"/>
      <c r="I64" s="17"/>
      <c r="J64" s="7" t="str">
        <f>IF(ProductsTable[[#This Row],[Unit Cost]]="","",SUMIFS(Transactions!F:F,Transactions!C:C,A64,Transactions!B:B,"Receipt"))</f>
        <v/>
      </c>
      <c r="K64" s="7" t="str">
        <f>IF(ProductsTable[[#This Row],[Unit Cost]]="","",SUMIFS(Transactions!F:F,Transactions!C:C,A64,Transactions!B:B,"Issue"))</f>
        <v/>
      </c>
      <c r="L64" s="7" t="str">
        <f>IF(ProductsTable[[#This Row],[Unit Cost]]="","",SUMIFS(Transactions!F:F,Transactions!C:C,A64,Transactions!B:B,"Adjustment +")-SUMIFS(Transactions!F:F,Transactions!C:C,A64,Transactions!B:B,"Adjustment -"))</f>
        <v/>
      </c>
      <c r="M64" s="13">
        <f>IF(ProductsTable[[#This Row],[Unit Cost]]&lt;&gt;"",H64+J64-K64+L64,ProductsTable[[#This Row],[Unit Cost]])</f>
        <v>0</v>
      </c>
      <c r="N64" s="8" t="str">
        <f>IF(A64="","",IF(M64&lt;=ProductsTable[[#This Row],[Reorder Point]],"REORDER","OK"))</f>
        <v/>
      </c>
    </row>
    <row r="65" spans="1:14">
      <c r="A65" s="15"/>
      <c r="B65" s="15"/>
      <c r="C65" s="15"/>
      <c r="D65" s="15"/>
      <c r="E65" s="15"/>
      <c r="F65" s="15"/>
      <c r="G65" s="16"/>
      <c r="H65" s="17"/>
      <c r="I65" s="17"/>
      <c r="J65" s="7" t="str">
        <f>IF(ProductsTable[[#This Row],[Unit Cost]]="","",SUMIFS(Transactions!F:F,Transactions!C:C,A65,Transactions!B:B,"Receipt"))</f>
        <v/>
      </c>
      <c r="K65" s="7" t="str">
        <f>IF(ProductsTable[[#This Row],[Unit Cost]]="","",SUMIFS(Transactions!F:F,Transactions!C:C,A65,Transactions!B:B,"Issue"))</f>
        <v/>
      </c>
      <c r="L65" s="7" t="str">
        <f>IF(ProductsTable[[#This Row],[Unit Cost]]="","",SUMIFS(Transactions!F:F,Transactions!C:C,A65,Transactions!B:B,"Adjustment +")-SUMIFS(Transactions!F:F,Transactions!C:C,A65,Transactions!B:B,"Adjustment -"))</f>
        <v/>
      </c>
      <c r="M65" s="13">
        <f>IF(ProductsTable[[#This Row],[Unit Cost]]&lt;&gt;"",H65+J65-K65+L65,ProductsTable[[#This Row],[Unit Cost]])</f>
        <v>0</v>
      </c>
      <c r="N65" s="8" t="str">
        <f>IF(A65="","",IF(M65&lt;=ProductsTable[[#This Row],[Reorder Point]],"REORDER","OK"))</f>
        <v/>
      </c>
    </row>
    <row r="66" spans="1:14">
      <c r="A66" s="15"/>
      <c r="B66" s="15"/>
      <c r="C66" s="15"/>
      <c r="D66" s="15"/>
      <c r="E66" s="15"/>
      <c r="F66" s="15"/>
      <c r="G66" s="16"/>
      <c r="H66" s="17"/>
      <c r="I66" s="17"/>
      <c r="J66" s="7" t="str">
        <f>IF(ProductsTable[[#This Row],[Unit Cost]]="","",SUMIFS(Transactions!F:F,Transactions!C:C,A66,Transactions!B:B,"Receipt"))</f>
        <v/>
      </c>
      <c r="K66" s="7" t="str">
        <f>IF(ProductsTable[[#This Row],[Unit Cost]]="","",SUMIFS(Transactions!F:F,Transactions!C:C,A66,Transactions!B:B,"Issue"))</f>
        <v/>
      </c>
      <c r="L66" s="7" t="str">
        <f>IF(ProductsTable[[#This Row],[Unit Cost]]="","",SUMIFS(Transactions!F:F,Transactions!C:C,A66,Transactions!B:B,"Adjustment +")-SUMIFS(Transactions!F:F,Transactions!C:C,A66,Transactions!B:B,"Adjustment -"))</f>
        <v/>
      </c>
      <c r="M66" s="13">
        <f>IF(ProductsTable[[#This Row],[Unit Cost]]&lt;&gt;"",H66+J66-K66+L66,ProductsTable[[#This Row],[Unit Cost]])</f>
        <v>0</v>
      </c>
      <c r="N66" s="8" t="str">
        <f>IF(A66="","",IF(M66&lt;=ProductsTable[[#This Row],[Reorder Point]],"REORDER","OK"))</f>
        <v/>
      </c>
    </row>
    <row r="67" spans="1:14">
      <c r="A67" s="15"/>
      <c r="B67" s="15"/>
      <c r="C67" s="15"/>
      <c r="D67" s="15"/>
      <c r="E67" s="15"/>
      <c r="F67" s="15"/>
      <c r="G67" s="16"/>
      <c r="H67" s="17"/>
      <c r="I67" s="17"/>
      <c r="J67" s="7" t="str">
        <f>IF(ProductsTable[[#This Row],[Unit Cost]]="","",SUMIFS(Transactions!F:F,Transactions!C:C,A67,Transactions!B:B,"Receipt"))</f>
        <v/>
      </c>
      <c r="K67" s="7" t="str">
        <f>IF(ProductsTable[[#This Row],[Unit Cost]]="","",SUMIFS(Transactions!F:F,Transactions!C:C,A67,Transactions!B:B,"Issue"))</f>
        <v/>
      </c>
      <c r="L67" s="7" t="str">
        <f>IF(ProductsTable[[#This Row],[Unit Cost]]="","",SUMIFS(Transactions!F:F,Transactions!C:C,A67,Transactions!B:B,"Adjustment +")-SUMIFS(Transactions!F:F,Transactions!C:C,A67,Transactions!B:B,"Adjustment -"))</f>
        <v/>
      </c>
      <c r="M67" s="13">
        <f>IF(ProductsTable[[#This Row],[Unit Cost]]&lt;&gt;"",H67+J67-K67+L67,ProductsTable[[#This Row],[Unit Cost]])</f>
        <v>0</v>
      </c>
      <c r="N67" s="8" t="str">
        <f>IF(A67="","",IF(M67&lt;=ProductsTable[[#This Row],[Reorder Point]],"REORDER","OK"))</f>
        <v/>
      </c>
    </row>
    <row r="68" spans="1:14">
      <c r="A68" s="15"/>
      <c r="B68" s="15"/>
      <c r="C68" s="15"/>
      <c r="D68" s="15"/>
      <c r="E68" s="15"/>
      <c r="F68" s="15"/>
      <c r="G68" s="16"/>
      <c r="H68" s="17"/>
      <c r="I68" s="17"/>
      <c r="J68" s="7" t="str">
        <f>IF(ProductsTable[[#This Row],[Unit Cost]]="","",SUMIFS(Transactions!F:F,Transactions!C:C,A68,Transactions!B:B,"Receipt"))</f>
        <v/>
      </c>
      <c r="K68" s="7" t="str">
        <f>IF(ProductsTable[[#This Row],[Unit Cost]]="","",SUMIFS(Transactions!F:F,Transactions!C:C,A68,Transactions!B:B,"Issue"))</f>
        <v/>
      </c>
      <c r="L68" s="7" t="str">
        <f>IF(ProductsTable[[#This Row],[Unit Cost]]="","",SUMIFS(Transactions!F:F,Transactions!C:C,A68,Transactions!B:B,"Adjustment +")-SUMIFS(Transactions!F:F,Transactions!C:C,A68,Transactions!B:B,"Adjustment -"))</f>
        <v/>
      </c>
      <c r="M68" s="13">
        <f>IF(ProductsTable[[#This Row],[Unit Cost]]&lt;&gt;"",H68+J68-K68+L68,ProductsTable[[#This Row],[Unit Cost]])</f>
        <v>0</v>
      </c>
      <c r="N68" s="8" t="str">
        <f>IF(A68="","",IF(M68&lt;=ProductsTable[[#This Row],[Reorder Point]],"REORDER","OK"))</f>
        <v/>
      </c>
    </row>
    <row r="69" spans="1:14">
      <c r="A69" s="15"/>
      <c r="B69" s="15"/>
      <c r="C69" s="15"/>
      <c r="D69" s="15"/>
      <c r="E69" s="15"/>
      <c r="F69" s="15"/>
      <c r="G69" s="16"/>
      <c r="H69" s="17"/>
      <c r="I69" s="17"/>
      <c r="J69" s="7" t="str">
        <f>IF(ProductsTable[[#This Row],[Unit Cost]]="","",SUMIFS(Transactions!F:F,Transactions!C:C,A69,Transactions!B:B,"Receipt"))</f>
        <v/>
      </c>
      <c r="K69" s="7" t="str">
        <f>IF(ProductsTable[[#This Row],[Unit Cost]]="","",SUMIFS(Transactions!F:F,Transactions!C:C,A69,Transactions!B:B,"Issue"))</f>
        <v/>
      </c>
      <c r="L69" s="7" t="str">
        <f>IF(ProductsTable[[#This Row],[Unit Cost]]="","",SUMIFS(Transactions!F:F,Transactions!C:C,A69,Transactions!B:B,"Adjustment +")-SUMIFS(Transactions!F:F,Transactions!C:C,A69,Transactions!B:B,"Adjustment -"))</f>
        <v/>
      </c>
      <c r="M69" s="13">
        <f>IF(ProductsTable[[#This Row],[Unit Cost]]&lt;&gt;"",H69+J69-K69+L69,ProductsTable[[#This Row],[Unit Cost]])</f>
        <v>0</v>
      </c>
      <c r="N69" s="8" t="str">
        <f>IF(A69="","",IF(M69&lt;=ProductsTable[[#This Row],[Reorder Point]],"REORDER","OK"))</f>
        <v/>
      </c>
    </row>
    <row r="70" spans="1:14">
      <c r="A70" s="15"/>
      <c r="B70" s="15"/>
      <c r="C70" s="15"/>
      <c r="D70" s="15"/>
      <c r="E70" s="15"/>
      <c r="F70" s="15"/>
      <c r="G70" s="16"/>
      <c r="H70" s="17"/>
      <c r="I70" s="17"/>
      <c r="J70" s="7" t="str">
        <f>IF(ProductsTable[[#This Row],[Unit Cost]]="","",SUMIFS(Transactions!F:F,Transactions!C:C,A70,Transactions!B:B,"Receipt"))</f>
        <v/>
      </c>
      <c r="K70" s="7" t="str">
        <f>IF(ProductsTable[[#This Row],[Unit Cost]]="","",SUMIFS(Transactions!F:F,Transactions!C:C,A70,Transactions!B:B,"Issue"))</f>
        <v/>
      </c>
      <c r="L70" s="7" t="str">
        <f>IF(ProductsTable[[#This Row],[Unit Cost]]="","",SUMIFS(Transactions!F:F,Transactions!C:C,A70,Transactions!B:B,"Adjustment +")-SUMIFS(Transactions!F:F,Transactions!C:C,A70,Transactions!B:B,"Adjustment -"))</f>
        <v/>
      </c>
      <c r="M70" s="13">
        <f>IF(ProductsTable[[#This Row],[Unit Cost]]&lt;&gt;"",H70+J70-K70+L70,ProductsTable[[#This Row],[Unit Cost]])</f>
        <v>0</v>
      </c>
      <c r="N70" s="8" t="str">
        <f>IF(A70="","",IF(M70&lt;=ProductsTable[[#This Row],[Reorder Point]],"REORDER","OK"))</f>
        <v/>
      </c>
    </row>
    <row r="71" spans="1:14">
      <c r="A71" s="15"/>
      <c r="B71" s="15"/>
      <c r="C71" s="15"/>
      <c r="D71" s="15"/>
      <c r="E71" s="15"/>
      <c r="F71" s="15"/>
      <c r="G71" s="16"/>
      <c r="H71" s="17"/>
      <c r="I71" s="17"/>
      <c r="J71" s="7" t="str">
        <f>IF(ProductsTable[[#This Row],[Unit Cost]]="","",SUMIFS(Transactions!F:F,Transactions!C:C,A71,Transactions!B:B,"Receipt"))</f>
        <v/>
      </c>
      <c r="K71" s="7" t="str">
        <f>IF(ProductsTable[[#This Row],[Unit Cost]]="","",SUMIFS(Transactions!F:F,Transactions!C:C,A71,Transactions!B:B,"Issue"))</f>
        <v/>
      </c>
      <c r="L71" s="7" t="str">
        <f>IF(ProductsTable[[#This Row],[Unit Cost]]="","",SUMIFS(Transactions!F:F,Transactions!C:C,A71,Transactions!B:B,"Adjustment +")-SUMIFS(Transactions!F:F,Transactions!C:C,A71,Transactions!B:B,"Adjustment -"))</f>
        <v/>
      </c>
      <c r="M71" s="13">
        <f>IF(ProductsTable[[#This Row],[Unit Cost]]&lt;&gt;"",H71+J71-K71+L71,ProductsTable[[#This Row],[Unit Cost]])</f>
        <v>0</v>
      </c>
      <c r="N71" s="8" t="str">
        <f>IF(A71="","",IF(M71&lt;=ProductsTable[[#This Row],[Reorder Point]],"REORDER","OK"))</f>
        <v/>
      </c>
    </row>
    <row r="72" spans="1:14">
      <c r="A72" s="15"/>
      <c r="B72" s="15"/>
      <c r="C72" s="15"/>
      <c r="D72" s="15"/>
      <c r="E72" s="15"/>
      <c r="F72" s="15"/>
      <c r="G72" s="16"/>
      <c r="H72" s="17"/>
      <c r="I72" s="17"/>
      <c r="J72" s="7" t="str">
        <f>IF(ProductsTable[[#This Row],[Unit Cost]]="","",SUMIFS(Transactions!F:F,Transactions!C:C,A72,Transactions!B:B,"Receipt"))</f>
        <v/>
      </c>
      <c r="K72" s="7" t="str">
        <f>IF(ProductsTable[[#This Row],[Unit Cost]]="","",SUMIFS(Transactions!F:F,Transactions!C:C,A72,Transactions!B:B,"Issue"))</f>
        <v/>
      </c>
      <c r="L72" s="7" t="str">
        <f>IF(ProductsTable[[#This Row],[Unit Cost]]="","",SUMIFS(Transactions!F:F,Transactions!C:C,A72,Transactions!B:B,"Adjustment +")-SUMIFS(Transactions!F:F,Transactions!C:C,A72,Transactions!B:B,"Adjustment -"))</f>
        <v/>
      </c>
      <c r="M72" s="13">
        <f>IF(ProductsTable[[#This Row],[Unit Cost]]&lt;&gt;"",H72+J72-K72+L72,ProductsTable[[#This Row],[Unit Cost]])</f>
        <v>0</v>
      </c>
      <c r="N72" s="8" t="str">
        <f>IF(A72="","",IF(M72&lt;=ProductsTable[[#This Row],[Reorder Point]],"REORDER","OK"))</f>
        <v/>
      </c>
    </row>
    <row r="73" spans="1:14">
      <c r="A73" s="15"/>
      <c r="B73" s="15"/>
      <c r="C73" s="15"/>
      <c r="D73" s="15"/>
      <c r="E73" s="15"/>
      <c r="F73" s="15"/>
      <c r="G73" s="16"/>
      <c r="H73" s="17"/>
      <c r="I73" s="17"/>
      <c r="J73" s="7" t="str">
        <f>IF(ProductsTable[[#This Row],[Unit Cost]]="","",SUMIFS(Transactions!F:F,Transactions!C:C,A73,Transactions!B:B,"Receipt"))</f>
        <v/>
      </c>
      <c r="K73" s="7" t="str">
        <f>IF(ProductsTable[[#This Row],[Unit Cost]]="","",SUMIFS(Transactions!F:F,Transactions!C:C,A73,Transactions!B:B,"Issue"))</f>
        <v/>
      </c>
      <c r="L73" s="7" t="str">
        <f>IF(ProductsTable[[#This Row],[Unit Cost]]="","",SUMIFS(Transactions!F:F,Transactions!C:C,A73,Transactions!B:B,"Adjustment +")-SUMIFS(Transactions!F:F,Transactions!C:C,A73,Transactions!B:B,"Adjustment -"))</f>
        <v/>
      </c>
      <c r="M73" s="13">
        <f>IF(ProductsTable[[#This Row],[Unit Cost]]&lt;&gt;"",H73+J73-K73+L73,ProductsTable[[#This Row],[Unit Cost]])</f>
        <v>0</v>
      </c>
      <c r="N73" s="8" t="str">
        <f>IF(A73="","",IF(M73&lt;=ProductsTable[[#This Row],[Reorder Point]],"REORDER","OK"))</f>
        <v/>
      </c>
    </row>
    <row r="74" spans="1:14">
      <c r="A74" s="15"/>
      <c r="B74" s="15"/>
      <c r="C74" s="15"/>
      <c r="D74" s="15"/>
      <c r="E74" s="15"/>
      <c r="F74" s="15"/>
      <c r="G74" s="16"/>
      <c r="H74" s="17"/>
      <c r="I74" s="17"/>
      <c r="J74" s="7" t="str">
        <f>IF(ProductsTable[[#This Row],[Unit Cost]]="","",SUMIFS(Transactions!F:F,Transactions!C:C,A74,Transactions!B:B,"Receipt"))</f>
        <v/>
      </c>
      <c r="K74" s="7" t="str">
        <f>IF(ProductsTable[[#This Row],[Unit Cost]]="","",SUMIFS(Transactions!F:F,Transactions!C:C,A74,Transactions!B:B,"Issue"))</f>
        <v/>
      </c>
      <c r="L74" s="7" t="str">
        <f>IF(ProductsTable[[#This Row],[Unit Cost]]="","",SUMIFS(Transactions!F:F,Transactions!C:C,A74,Transactions!B:B,"Adjustment +")-SUMIFS(Transactions!F:F,Transactions!C:C,A74,Transactions!B:B,"Adjustment -"))</f>
        <v/>
      </c>
      <c r="M74" s="13">
        <f>IF(ProductsTable[[#This Row],[Unit Cost]]&lt;&gt;"",H74+J74-K74+L74,ProductsTable[[#This Row],[Unit Cost]])</f>
        <v>0</v>
      </c>
      <c r="N74" s="8" t="str">
        <f>IF(A74="","",IF(M74&lt;=ProductsTable[[#This Row],[Reorder Point]],"REORDER","OK"))</f>
        <v/>
      </c>
    </row>
    <row r="75" spans="1:14">
      <c r="A75" s="15"/>
      <c r="B75" s="15"/>
      <c r="C75" s="15"/>
      <c r="D75" s="15"/>
      <c r="E75" s="15"/>
      <c r="F75" s="15"/>
      <c r="G75" s="16"/>
      <c r="H75" s="17"/>
      <c r="I75" s="17"/>
      <c r="J75" s="7" t="str">
        <f>IF(ProductsTable[[#This Row],[Unit Cost]]="","",SUMIFS(Transactions!F:F,Transactions!C:C,A75,Transactions!B:B,"Receipt"))</f>
        <v/>
      </c>
      <c r="K75" s="7" t="str">
        <f>IF(ProductsTable[[#This Row],[Unit Cost]]="","",SUMIFS(Transactions!F:F,Transactions!C:C,A75,Transactions!B:B,"Issue"))</f>
        <v/>
      </c>
      <c r="L75" s="7" t="str">
        <f>IF(ProductsTable[[#This Row],[Unit Cost]]="","",SUMIFS(Transactions!F:F,Transactions!C:C,A75,Transactions!B:B,"Adjustment +")-SUMIFS(Transactions!F:F,Transactions!C:C,A75,Transactions!B:B,"Adjustment -"))</f>
        <v/>
      </c>
      <c r="M75" s="13">
        <f>IF(ProductsTable[[#This Row],[Unit Cost]]&lt;&gt;"",H75+J75-K75+L75,ProductsTable[[#This Row],[Unit Cost]])</f>
        <v>0</v>
      </c>
      <c r="N75" s="8" t="str">
        <f>IF(A75="","",IF(M75&lt;=ProductsTable[[#This Row],[Reorder Point]],"REORDER","OK"))</f>
        <v/>
      </c>
    </row>
    <row r="76" spans="1:14">
      <c r="A76" s="15"/>
      <c r="B76" s="15"/>
      <c r="C76" s="15"/>
      <c r="D76" s="15"/>
      <c r="E76" s="15"/>
      <c r="F76" s="15"/>
      <c r="G76" s="16"/>
      <c r="H76" s="17"/>
      <c r="I76" s="17"/>
      <c r="J76" s="7" t="str">
        <f>IF(ProductsTable[[#This Row],[Unit Cost]]="","",SUMIFS(Transactions!F:F,Transactions!C:C,A76,Transactions!B:B,"Receipt"))</f>
        <v/>
      </c>
      <c r="K76" s="7" t="str">
        <f>IF(ProductsTable[[#This Row],[Unit Cost]]="","",SUMIFS(Transactions!F:F,Transactions!C:C,A76,Transactions!B:B,"Issue"))</f>
        <v/>
      </c>
      <c r="L76" s="7" t="str">
        <f>IF(ProductsTable[[#This Row],[Unit Cost]]="","",SUMIFS(Transactions!F:F,Transactions!C:C,A76,Transactions!B:B,"Adjustment +")-SUMIFS(Transactions!F:F,Transactions!C:C,A76,Transactions!B:B,"Adjustment -"))</f>
        <v/>
      </c>
      <c r="M76" s="13">
        <f>IF(ProductsTable[[#This Row],[Unit Cost]]&lt;&gt;"",H76+J76-K76+L76,ProductsTable[[#This Row],[Unit Cost]])</f>
        <v>0</v>
      </c>
      <c r="N76" s="8" t="str">
        <f>IF(A76="","",IF(M76&lt;=ProductsTable[[#This Row],[Reorder Point]],"REORDER","OK"))</f>
        <v/>
      </c>
    </row>
    <row r="77" spans="1:14">
      <c r="A77" s="15"/>
      <c r="B77" s="15"/>
      <c r="C77" s="15"/>
      <c r="D77" s="15"/>
      <c r="E77" s="15"/>
      <c r="F77" s="15"/>
      <c r="G77" s="16"/>
      <c r="H77" s="17"/>
      <c r="I77" s="17"/>
      <c r="J77" s="7" t="str">
        <f>IF(ProductsTable[[#This Row],[Unit Cost]]="","",SUMIFS(Transactions!F:F,Transactions!C:C,A77,Transactions!B:B,"Receipt"))</f>
        <v/>
      </c>
      <c r="K77" s="7" t="str">
        <f>IF(ProductsTable[[#This Row],[Unit Cost]]="","",SUMIFS(Transactions!F:F,Transactions!C:C,A77,Transactions!B:B,"Issue"))</f>
        <v/>
      </c>
      <c r="L77" s="7" t="str">
        <f>IF(ProductsTable[[#This Row],[Unit Cost]]="","",SUMIFS(Transactions!F:F,Transactions!C:C,A77,Transactions!B:B,"Adjustment +")-SUMIFS(Transactions!F:F,Transactions!C:C,A77,Transactions!B:B,"Adjustment -"))</f>
        <v/>
      </c>
      <c r="M77" s="13">
        <f>IF(ProductsTable[[#This Row],[Unit Cost]]&lt;&gt;"",H77+J77-K77+L77,ProductsTable[[#This Row],[Unit Cost]])</f>
        <v>0</v>
      </c>
      <c r="N77" s="8" t="str">
        <f>IF(A77="","",IF(M77&lt;=ProductsTable[[#This Row],[Reorder Point]],"REORDER","OK"))</f>
        <v/>
      </c>
    </row>
    <row r="78" spans="1:14">
      <c r="A78" s="15"/>
      <c r="B78" s="15"/>
      <c r="C78" s="15"/>
      <c r="D78" s="15"/>
      <c r="E78" s="15"/>
      <c r="F78" s="15"/>
      <c r="G78" s="16"/>
      <c r="H78" s="17"/>
      <c r="I78" s="17"/>
      <c r="J78" s="7" t="str">
        <f>IF(ProductsTable[[#This Row],[Unit Cost]]="","",SUMIFS(Transactions!F:F,Transactions!C:C,A78,Transactions!B:B,"Receipt"))</f>
        <v/>
      </c>
      <c r="K78" s="7" t="str">
        <f>IF(ProductsTable[[#This Row],[Unit Cost]]="","",SUMIFS(Transactions!F:F,Transactions!C:C,A78,Transactions!B:B,"Issue"))</f>
        <v/>
      </c>
      <c r="L78" s="7" t="str">
        <f>IF(ProductsTable[[#This Row],[Unit Cost]]="","",SUMIFS(Transactions!F:F,Transactions!C:C,A78,Transactions!B:B,"Adjustment +")-SUMIFS(Transactions!F:F,Transactions!C:C,A78,Transactions!B:B,"Adjustment -"))</f>
        <v/>
      </c>
      <c r="M78" s="13">
        <f>IF(ProductsTable[[#This Row],[Unit Cost]]&lt;&gt;"",H78+J78-K78+L78,ProductsTable[[#This Row],[Unit Cost]])</f>
        <v>0</v>
      </c>
      <c r="N78" s="8" t="str">
        <f>IF(A78="","",IF(M78&lt;=ProductsTable[[#This Row],[Reorder Point]],"REORDER","OK"))</f>
        <v/>
      </c>
    </row>
    <row r="79" spans="1:14">
      <c r="A79" s="15"/>
      <c r="B79" s="15"/>
      <c r="C79" s="15"/>
      <c r="D79" s="15"/>
      <c r="E79" s="15"/>
      <c r="F79" s="15"/>
      <c r="G79" s="16"/>
      <c r="H79" s="17"/>
      <c r="I79" s="17"/>
      <c r="J79" s="7" t="str">
        <f>IF(ProductsTable[[#This Row],[Unit Cost]]="","",SUMIFS(Transactions!F:F,Transactions!C:C,A79,Transactions!B:B,"Receipt"))</f>
        <v/>
      </c>
      <c r="K79" s="7" t="str">
        <f>IF(ProductsTable[[#This Row],[Unit Cost]]="","",SUMIFS(Transactions!F:F,Transactions!C:C,A79,Transactions!B:B,"Issue"))</f>
        <v/>
      </c>
      <c r="L79" s="7" t="str">
        <f>IF(ProductsTable[[#This Row],[Unit Cost]]="","",SUMIFS(Transactions!F:F,Transactions!C:C,A79,Transactions!B:B,"Adjustment +")-SUMIFS(Transactions!F:F,Transactions!C:C,A79,Transactions!B:B,"Adjustment -"))</f>
        <v/>
      </c>
      <c r="M79" s="13">
        <f>IF(ProductsTable[[#This Row],[Unit Cost]]&lt;&gt;"",H79+J79-K79+L79,ProductsTable[[#This Row],[Unit Cost]])</f>
        <v>0</v>
      </c>
      <c r="N79" s="8" t="str">
        <f>IF(A79="","",IF(M79&lt;=ProductsTable[[#This Row],[Reorder Point]],"REORDER","OK"))</f>
        <v/>
      </c>
    </row>
    <row r="80" spans="1:14">
      <c r="A80" s="15"/>
      <c r="B80" s="15"/>
      <c r="C80" s="15"/>
      <c r="D80" s="15"/>
      <c r="E80" s="15"/>
      <c r="F80" s="15"/>
      <c r="G80" s="16"/>
      <c r="H80" s="17"/>
      <c r="I80" s="17"/>
      <c r="J80" s="7" t="str">
        <f>IF(ProductsTable[[#This Row],[Unit Cost]]="","",SUMIFS(Transactions!F:F,Transactions!C:C,A80,Transactions!B:B,"Receipt"))</f>
        <v/>
      </c>
      <c r="K80" s="7" t="str">
        <f>IF(ProductsTable[[#This Row],[Unit Cost]]="","",SUMIFS(Transactions!F:F,Transactions!C:C,A80,Transactions!B:B,"Issue"))</f>
        <v/>
      </c>
      <c r="L80" s="7" t="str">
        <f>IF(ProductsTable[[#This Row],[Unit Cost]]="","",SUMIFS(Transactions!F:F,Transactions!C:C,A80,Transactions!B:B,"Adjustment +")-SUMIFS(Transactions!F:F,Transactions!C:C,A80,Transactions!B:B,"Adjustment -"))</f>
        <v/>
      </c>
      <c r="M80" s="13">
        <f>IF(ProductsTable[[#This Row],[Unit Cost]]&lt;&gt;"",H80+J80-K80+L80,ProductsTable[[#This Row],[Unit Cost]])</f>
        <v>0</v>
      </c>
      <c r="N80" s="8" t="str">
        <f>IF(A80="","",IF(M80&lt;=ProductsTable[[#This Row],[Reorder Point]],"REORDER","OK"))</f>
        <v/>
      </c>
    </row>
    <row r="81" spans="1:14">
      <c r="A81" s="15"/>
      <c r="B81" s="15"/>
      <c r="C81" s="15"/>
      <c r="D81" s="15"/>
      <c r="E81" s="15"/>
      <c r="F81" s="15"/>
      <c r="G81" s="16"/>
      <c r="H81" s="17"/>
      <c r="I81" s="17"/>
      <c r="J81" s="7" t="str">
        <f>IF(ProductsTable[[#This Row],[Unit Cost]]="","",SUMIFS(Transactions!F:F,Transactions!C:C,A81,Transactions!B:B,"Receipt"))</f>
        <v/>
      </c>
      <c r="K81" s="7" t="str">
        <f>IF(ProductsTable[[#This Row],[Unit Cost]]="","",SUMIFS(Transactions!F:F,Transactions!C:C,A81,Transactions!B:B,"Issue"))</f>
        <v/>
      </c>
      <c r="L81" s="7" t="str">
        <f>IF(ProductsTable[[#This Row],[Unit Cost]]="","",SUMIFS(Transactions!F:F,Transactions!C:C,A81,Transactions!B:B,"Adjustment +")-SUMIFS(Transactions!F:F,Transactions!C:C,A81,Transactions!B:B,"Adjustment -"))</f>
        <v/>
      </c>
      <c r="M81" s="13">
        <f>IF(ProductsTable[[#This Row],[Unit Cost]]&lt;&gt;"",H81+J81-K81+L81,ProductsTable[[#This Row],[Unit Cost]])</f>
        <v>0</v>
      </c>
      <c r="N81" s="8" t="str">
        <f>IF(A81="","",IF(M81&lt;=ProductsTable[[#This Row],[Reorder Point]],"REORDER","OK"))</f>
        <v/>
      </c>
    </row>
    <row r="82" spans="1:14">
      <c r="A82" s="15"/>
      <c r="B82" s="15"/>
      <c r="C82" s="15"/>
      <c r="D82" s="15"/>
      <c r="E82" s="15"/>
      <c r="F82" s="15"/>
      <c r="G82" s="16"/>
      <c r="H82" s="17"/>
      <c r="I82" s="17"/>
      <c r="J82" s="7" t="str">
        <f>IF(ProductsTable[[#This Row],[Unit Cost]]="","",SUMIFS(Transactions!F:F,Transactions!C:C,A82,Transactions!B:B,"Receipt"))</f>
        <v/>
      </c>
      <c r="K82" s="7" t="str">
        <f>IF(ProductsTable[[#This Row],[Unit Cost]]="","",SUMIFS(Transactions!F:F,Transactions!C:C,A82,Transactions!B:B,"Issue"))</f>
        <v/>
      </c>
      <c r="L82" s="7" t="str">
        <f>IF(ProductsTable[[#This Row],[Unit Cost]]="","",SUMIFS(Transactions!F:F,Transactions!C:C,A82,Transactions!B:B,"Adjustment +")-SUMIFS(Transactions!F:F,Transactions!C:C,A82,Transactions!B:B,"Adjustment -"))</f>
        <v/>
      </c>
      <c r="M82" s="13">
        <f>IF(ProductsTable[[#This Row],[Unit Cost]]&lt;&gt;"",H82+J82-K82+L82,ProductsTable[[#This Row],[Unit Cost]])</f>
        <v>0</v>
      </c>
      <c r="N82" s="8" t="str">
        <f>IF(A82="","",IF(M82&lt;=ProductsTable[[#This Row],[Reorder Point]],"REORDER","OK"))</f>
        <v/>
      </c>
    </row>
    <row r="83" spans="1:14">
      <c r="A83" s="15"/>
      <c r="B83" s="15"/>
      <c r="C83" s="15"/>
      <c r="D83" s="15"/>
      <c r="E83" s="15"/>
      <c r="F83" s="15"/>
      <c r="G83" s="16"/>
      <c r="H83" s="17"/>
      <c r="I83" s="17"/>
      <c r="J83" s="7" t="str">
        <f>IF(ProductsTable[[#This Row],[Unit Cost]]="","",SUMIFS(Transactions!F:F,Transactions!C:C,A83,Transactions!B:B,"Receipt"))</f>
        <v/>
      </c>
      <c r="K83" s="7" t="str">
        <f>IF(ProductsTable[[#This Row],[Unit Cost]]="","",SUMIFS(Transactions!F:F,Transactions!C:C,A83,Transactions!B:B,"Issue"))</f>
        <v/>
      </c>
      <c r="L83" s="7" t="str">
        <f>IF(ProductsTable[[#This Row],[Unit Cost]]="","",SUMIFS(Transactions!F:F,Transactions!C:C,A83,Transactions!B:B,"Adjustment +")-SUMIFS(Transactions!F:F,Transactions!C:C,A83,Transactions!B:B,"Adjustment -"))</f>
        <v/>
      </c>
      <c r="M83" s="13">
        <f>IF(ProductsTable[[#This Row],[Unit Cost]]&lt;&gt;"",H83+J83-K83+L83,ProductsTable[[#This Row],[Unit Cost]])</f>
        <v>0</v>
      </c>
      <c r="N83" s="8" t="str">
        <f>IF(A83="","",IF(M83&lt;=ProductsTable[[#This Row],[Reorder Point]],"REORDER","OK"))</f>
        <v/>
      </c>
    </row>
    <row r="84" spans="1:14">
      <c r="A84" s="15"/>
      <c r="B84" s="15"/>
      <c r="C84" s="15"/>
      <c r="D84" s="15"/>
      <c r="E84" s="15"/>
      <c r="F84" s="15"/>
      <c r="G84" s="16"/>
      <c r="H84" s="17"/>
      <c r="I84" s="17"/>
      <c r="J84" s="7" t="str">
        <f>IF(ProductsTable[[#This Row],[Unit Cost]]="","",SUMIFS(Transactions!F:F,Transactions!C:C,A84,Transactions!B:B,"Receipt"))</f>
        <v/>
      </c>
      <c r="K84" s="7" t="str">
        <f>IF(ProductsTable[[#This Row],[Unit Cost]]="","",SUMIFS(Transactions!F:F,Transactions!C:C,A84,Transactions!B:B,"Issue"))</f>
        <v/>
      </c>
      <c r="L84" s="7" t="str">
        <f>IF(ProductsTable[[#This Row],[Unit Cost]]="","",SUMIFS(Transactions!F:F,Transactions!C:C,A84,Transactions!B:B,"Adjustment +")-SUMIFS(Transactions!F:F,Transactions!C:C,A84,Transactions!B:B,"Adjustment -"))</f>
        <v/>
      </c>
      <c r="M84" s="13">
        <f>IF(ProductsTable[[#This Row],[Unit Cost]]&lt;&gt;"",H84+J84-K84+L84,ProductsTable[[#This Row],[Unit Cost]])</f>
        <v>0</v>
      </c>
      <c r="N84" s="8" t="str">
        <f>IF(A84="","",IF(M84&lt;=ProductsTable[[#This Row],[Reorder Point]],"REORDER","OK"))</f>
        <v/>
      </c>
    </row>
    <row r="85" spans="1:14">
      <c r="A85" s="15"/>
      <c r="B85" s="15"/>
      <c r="C85" s="15"/>
      <c r="D85" s="15"/>
      <c r="E85" s="15"/>
      <c r="F85" s="15"/>
      <c r="G85" s="16"/>
      <c r="H85" s="17"/>
      <c r="I85" s="17"/>
      <c r="J85" s="7" t="str">
        <f>IF(ProductsTable[[#This Row],[Unit Cost]]="","",SUMIFS(Transactions!F:F,Transactions!C:C,A85,Transactions!B:B,"Receipt"))</f>
        <v/>
      </c>
      <c r="K85" s="7" t="str">
        <f>IF(ProductsTable[[#This Row],[Unit Cost]]="","",SUMIFS(Transactions!F:F,Transactions!C:C,A85,Transactions!B:B,"Issue"))</f>
        <v/>
      </c>
      <c r="L85" s="7" t="str">
        <f>IF(ProductsTable[[#This Row],[Unit Cost]]="","",SUMIFS(Transactions!F:F,Transactions!C:C,A85,Transactions!B:B,"Adjustment +")-SUMIFS(Transactions!F:F,Transactions!C:C,A85,Transactions!B:B,"Adjustment -"))</f>
        <v/>
      </c>
      <c r="M85" s="13">
        <f>IF(ProductsTable[[#This Row],[Unit Cost]]&lt;&gt;"",H85+J85-K85+L85,ProductsTable[[#This Row],[Unit Cost]])</f>
        <v>0</v>
      </c>
      <c r="N85" s="8" t="str">
        <f>IF(A85="","",IF(M85&lt;=ProductsTable[[#This Row],[Reorder Point]],"REORDER","OK"))</f>
        <v/>
      </c>
    </row>
    <row r="86" spans="1:14">
      <c r="A86" s="15"/>
      <c r="B86" s="15"/>
      <c r="C86" s="15"/>
      <c r="D86" s="15"/>
      <c r="E86" s="15"/>
      <c r="F86" s="15"/>
      <c r="G86" s="16"/>
      <c r="H86" s="17"/>
      <c r="I86" s="17"/>
      <c r="J86" s="7" t="str">
        <f>IF(ProductsTable[[#This Row],[Unit Cost]]="","",SUMIFS(Transactions!F:F,Transactions!C:C,A86,Transactions!B:B,"Receipt"))</f>
        <v/>
      </c>
      <c r="K86" s="7" t="str">
        <f>IF(ProductsTable[[#This Row],[Unit Cost]]="","",SUMIFS(Transactions!F:F,Transactions!C:C,A86,Transactions!B:B,"Issue"))</f>
        <v/>
      </c>
      <c r="L86" s="7" t="str">
        <f>IF(ProductsTable[[#This Row],[Unit Cost]]="","",SUMIFS(Transactions!F:F,Transactions!C:C,A86,Transactions!B:B,"Adjustment +")-SUMIFS(Transactions!F:F,Transactions!C:C,A86,Transactions!B:B,"Adjustment -"))</f>
        <v/>
      </c>
      <c r="M86" s="13">
        <f>IF(ProductsTable[[#This Row],[Unit Cost]]&lt;&gt;"",H86+J86-K86+L86,ProductsTable[[#This Row],[Unit Cost]])</f>
        <v>0</v>
      </c>
      <c r="N86" s="8" t="str">
        <f>IF(A86="","",IF(M86&lt;=ProductsTable[[#This Row],[Reorder Point]],"REORDER","OK"))</f>
        <v/>
      </c>
    </row>
    <row r="87" spans="1:14">
      <c r="A87" s="15"/>
      <c r="B87" s="15"/>
      <c r="C87" s="15"/>
      <c r="D87" s="15"/>
      <c r="E87" s="15"/>
      <c r="F87" s="15"/>
      <c r="G87" s="16"/>
      <c r="H87" s="17"/>
      <c r="I87" s="17"/>
      <c r="J87" s="7" t="str">
        <f>IF(ProductsTable[[#This Row],[Unit Cost]]="","",SUMIFS(Transactions!F:F,Transactions!C:C,A87,Transactions!B:B,"Receipt"))</f>
        <v/>
      </c>
      <c r="K87" s="7" t="str">
        <f>IF(ProductsTable[[#This Row],[Unit Cost]]="","",SUMIFS(Transactions!F:F,Transactions!C:C,A87,Transactions!B:B,"Issue"))</f>
        <v/>
      </c>
      <c r="L87" s="7" t="str">
        <f>IF(ProductsTable[[#This Row],[Unit Cost]]="","",SUMIFS(Transactions!F:F,Transactions!C:C,A87,Transactions!B:B,"Adjustment +")-SUMIFS(Transactions!F:F,Transactions!C:C,A87,Transactions!B:B,"Adjustment -"))</f>
        <v/>
      </c>
      <c r="M87" s="13">
        <f>IF(ProductsTable[[#This Row],[Unit Cost]]&lt;&gt;"",H87+J87-K87+L87,ProductsTable[[#This Row],[Unit Cost]])</f>
        <v>0</v>
      </c>
      <c r="N87" s="8" t="str">
        <f>IF(A87="","",IF(M87&lt;=ProductsTable[[#This Row],[Reorder Point]],"REORDER","OK"))</f>
        <v/>
      </c>
    </row>
    <row r="88" spans="1:14">
      <c r="A88" s="15"/>
      <c r="B88" s="15"/>
      <c r="C88" s="15"/>
      <c r="D88" s="15"/>
      <c r="E88" s="15"/>
      <c r="F88" s="15"/>
      <c r="G88" s="16"/>
      <c r="H88" s="17"/>
      <c r="I88" s="17"/>
      <c r="J88" s="7" t="str">
        <f>IF(ProductsTable[[#This Row],[Unit Cost]]="","",SUMIFS(Transactions!F:F,Transactions!C:C,A88,Transactions!B:B,"Receipt"))</f>
        <v/>
      </c>
      <c r="K88" s="7" t="str">
        <f>IF(ProductsTable[[#This Row],[Unit Cost]]="","",SUMIFS(Transactions!F:F,Transactions!C:C,A88,Transactions!B:B,"Issue"))</f>
        <v/>
      </c>
      <c r="L88" s="7" t="str">
        <f>IF(ProductsTable[[#This Row],[Unit Cost]]="","",SUMIFS(Transactions!F:F,Transactions!C:C,A88,Transactions!B:B,"Adjustment +")-SUMIFS(Transactions!F:F,Transactions!C:C,A88,Transactions!B:B,"Adjustment -"))</f>
        <v/>
      </c>
      <c r="M88" s="13">
        <f>IF(ProductsTable[[#This Row],[Unit Cost]]&lt;&gt;"",H88+J88-K88+L88,ProductsTable[[#This Row],[Unit Cost]])</f>
        <v>0</v>
      </c>
      <c r="N88" s="8" t="str">
        <f>IF(A88="","",IF(M88&lt;=ProductsTable[[#This Row],[Reorder Point]],"REORDER","OK"))</f>
        <v/>
      </c>
    </row>
    <row r="89" spans="1:14">
      <c r="A89" s="15"/>
      <c r="B89" s="15"/>
      <c r="C89" s="15"/>
      <c r="D89" s="15"/>
      <c r="E89" s="15"/>
      <c r="F89" s="15"/>
      <c r="G89" s="16"/>
      <c r="H89" s="17"/>
      <c r="I89" s="17"/>
      <c r="J89" s="7" t="str">
        <f>IF(ProductsTable[[#This Row],[Unit Cost]]="","",SUMIFS(Transactions!F:F,Transactions!C:C,A89,Transactions!B:B,"Receipt"))</f>
        <v/>
      </c>
      <c r="K89" s="7" t="str">
        <f>IF(ProductsTable[[#This Row],[Unit Cost]]="","",SUMIFS(Transactions!F:F,Transactions!C:C,A89,Transactions!B:B,"Issue"))</f>
        <v/>
      </c>
      <c r="L89" s="7" t="str">
        <f>IF(ProductsTable[[#This Row],[Unit Cost]]="","",SUMIFS(Transactions!F:F,Transactions!C:C,A89,Transactions!B:B,"Adjustment +")-SUMIFS(Transactions!F:F,Transactions!C:C,A89,Transactions!B:B,"Adjustment -"))</f>
        <v/>
      </c>
      <c r="M89" s="13">
        <f>IF(ProductsTable[[#This Row],[Unit Cost]]&lt;&gt;"",H89+J89-K89+L89,ProductsTable[[#This Row],[Unit Cost]])</f>
        <v>0</v>
      </c>
      <c r="N89" s="8" t="str">
        <f>IF(A89="","",IF(M89&lt;=ProductsTable[[#This Row],[Reorder Point]],"REORDER","OK"))</f>
        <v/>
      </c>
    </row>
    <row r="90" spans="1:14">
      <c r="A90" s="15"/>
      <c r="B90" s="15"/>
      <c r="C90" s="15"/>
      <c r="D90" s="15"/>
      <c r="E90" s="15"/>
      <c r="F90" s="15"/>
      <c r="G90" s="16"/>
      <c r="H90" s="17"/>
      <c r="I90" s="17"/>
      <c r="J90" s="7" t="str">
        <f>IF(ProductsTable[[#This Row],[Unit Cost]]="","",SUMIFS(Transactions!F:F,Transactions!C:C,A90,Transactions!B:B,"Receipt"))</f>
        <v/>
      </c>
      <c r="K90" s="7" t="str">
        <f>IF(ProductsTable[[#This Row],[Unit Cost]]="","",SUMIFS(Transactions!F:F,Transactions!C:C,A90,Transactions!B:B,"Issue"))</f>
        <v/>
      </c>
      <c r="L90" s="7" t="str">
        <f>IF(ProductsTable[[#This Row],[Unit Cost]]="","",SUMIFS(Transactions!F:F,Transactions!C:C,A90,Transactions!B:B,"Adjustment +")-SUMIFS(Transactions!F:F,Transactions!C:C,A90,Transactions!B:B,"Adjustment -"))</f>
        <v/>
      </c>
      <c r="M90" s="13">
        <f>IF(ProductsTable[[#This Row],[Unit Cost]]&lt;&gt;"",H90+J90-K90+L90,ProductsTable[[#This Row],[Unit Cost]])</f>
        <v>0</v>
      </c>
      <c r="N90" s="8" t="str">
        <f>IF(A90="","",IF(M90&lt;=ProductsTable[[#This Row],[Reorder Point]],"REORDER","OK"))</f>
        <v/>
      </c>
    </row>
    <row r="91" spans="1:14">
      <c r="A91" s="15"/>
      <c r="B91" s="15"/>
      <c r="C91" s="15"/>
      <c r="D91" s="15"/>
      <c r="E91" s="15"/>
      <c r="F91" s="15"/>
      <c r="G91" s="16"/>
      <c r="H91" s="17"/>
      <c r="I91" s="17"/>
      <c r="J91" s="7" t="str">
        <f>IF(ProductsTable[[#This Row],[Unit Cost]]="","",SUMIFS(Transactions!F:F,Transactions!C:C,A91,Transactions!B:B,"Receipt"))</f>
        <v/>
      </c>
      <c r="K91" s="7" t="str">
        <f>IF(ProductsTable[[#This Row],[Unit Cost]]="","",SUMIFS(Transactions!F:F,Transactions!C:C,A91,Transactions!B:B,"Issue"))</f>
        <v/>
      </c>
      <c r="L91" s="7" t="str">
        <f>IF(ProductsTable[[#This Row],[Unit Cost]]="","",SUMIFS(Transactions!F:F,Transactions!C:C,A91,Transactions!B:B,"Adjustment +")-SUMIFS(Transactions!F:F,Transactions!C:C,A91,Transactions!B:B,"Adjustment -"))</f>
        <v/>
      </c>
      <c r="M91" s="13">
        <f>IF(ProductsTable[[#This Row],[Unit Cost]]&lt;&gt;"",H91+J91-K91+L91,ProductsTable[[#This Row],[Unit Cost]])</f>
        <v>0</v>
      </c>
      <c r="N91" s="8" t="str">
        <f>IF(A91="","",IF(M91&lt;=ProductsTable[[#This Row],[Reorder Point]],"REORDER","OK"))</f>
        <v/>
      </c>
    </row>
    <row r="92" spans="1:14">
      <c r="A92" s="15"/>
      <c r="B92" s="15"/>
      <c r="C92" s="15"/>
      <c r="D92" s="15"/>
      <c r="E92" s="15"/>
      <c r="F92" s="15"/>
      <c r="G92" s="16"/>
      <c r="H92" s="17"/>
      <c r="I92" s="17"/>
      <c r="J92" s="7" t="str">
        <f>IF(ProductsTable[[#This Row],[Unit Cost]]="","",SUMIFS(Transactions!F:F,Transactions!C:C,A92,Transactions!B:B,"Receipt"))</f>
        <v/>
      </c>
      <c r="K92" s="7" t="str">
        <f>IF(ProductsTable[[#This Row],[Unit Cost]]="","",SUMIFS(Transactions!F:F,Transactions!C:C,A92,Transactions!B:B,"Issue"))</f>
        <v/>
      </c>
      <c r="L92" s="7" t="str">
        <f>IF(ProductsTable[[#This Row],[Unit Cost]]="","",SUMIFS(Transactions!F:F,Transactions!C:C,A92,Transactions!B:B,"Adjustment +")-SUMIFS(Transactions!F:F,Transactions!C:C,A92,Transactions!B:B,"Adjustment -"))</f>
        <v/>
      </c>
      <c r="M92" s="13">
        <f>IF(ProductsTable[[#This Row],[Unit Cost]]&lt;&gt;"",H92+J92-K92+L92,ProductsTable[[#This Row],[Unit Cost]])</f>
        <v>0</v>
      </c>
      <c r="N92" s="8" t="str">
        <f>IF(A92="","",IF(M92&lt;=ProductsTable[[#This Row],[Reorder Point]],"REORDER","OK"))</f>
        <v/>
      </c>
    </row>
    <row r="93" spans="1:14">
      <c r="A93" s="15"/>
      <c r="B93" s="15"/>
      <c r="C93" s="15"/>
      <c r="D93" s="15"/>
      <c r="E93" s="15"/>
      <c r="F93" s="15"/>
      <c r="G93" s="16"/>
      <c r="H93" s="17"/>
      <c r="I93" s="17"/>
      <c r="J93" s="7" t="str">
        <f>IF(ProductsTable[[#This Row],[Unit Cost]]="","",SUMIFS(Transactions!F:F,Transactions!C:C,A93,Transactions!B:B,"Receipt"))</f>
        <v/>
      </c>
      <c r="K93" s="7" t="str">
        <f>IF(ProductsTable[[#This Row],[Unit Cost]]="","",SUMIFS(Transactions!F:F,Transactions!C:C,A93,Transactions!B:B,"Issue"))</f>
        <v/>
      </c>
      <c r="L93" s="7" t="str">
        <f>IF(ProductsTable[[#This Row],[Unit Cost]]="","",SUMIFS(Transactions!F:F,Transactions!C:C,A93,Transactions!B:B,"Adjustment +")-SUMIFS(Transactions!F:F,Transactions!C:C,A93,Transactions!B:B,"Adjustment -"))</f>
        <v/>
      </c>
      <c r="M93" s="13">
        <f>IF(ProductsTable[[#This Row],[Unit Cost]]&lt;&gt;"",H93+J93-K93+L93,ProductsTable[[#This Row],[Unit Cost]])</f>
        <v>0</v>
      </c>
      <c r="N93" s="8" t="str">
        <f>IF(A93="","",IF(M93&lt;=ProductsTable[[#This Row],[Reorder Point]],"REORDER","OK"))</f>
        <v/>
      </c>
    </row>
    <row r="94" spans="1:14">
      <c r="A94" s="15"/>
      <c r="B94" s="15"/>
      <c r="C94" s="15"/>
      <c r="D94" s="15"/>
      <c r="E94" s="15"/>
      <c r="F94" s="15"/>
      <c r="G94" s="16"/>
      <c r="H94" s="17"/>
      <c r="I94" s="17"/>
      <c r="J94" s="7" t="str">
        <f>IF(ProductsTable[[#This Row],[Unit Cost]]="","",SUMIFS(Transactions!F:F,Transactions!C:C,A94,Transactions!B:B,"Receipt"))</f>
        <v/>
      </c>
      <c r="K94" s="7" t="str">
        <f>IF(ProductsTable[[#This Row],[Unit Cost]]="","",SUMIFS(Transactions!F:F,Transactions!C:C,A94,Transactions!B:B,"Issue"))</f>
        <v/>
      </c>
      <c r="L94" s="7" t="str">
        <f>IF(ProductsTable[[#This Row],[Unit Cost]]="","",SUMIFS(Transactions!F:F,Transactions!C:C,A94,Transactions!B:B,"Adjustment +")-SUMIFS(Transactions!F:F,Transactions!C:C,A94,Transactions!B:B,"Adjustment -"))</f>
        <v/>
      </c>
      <c r="M94" s="13">
        <f>IF(ProductsTable[[#This Row],[Unit Cost]]&lt;&gt;"",H94+J94-K94+L94,ProductsTable[[#This Row],[Unit Cost]])</f>
        <v>0</v>
      </c>
      <c r="N94" s="8" t="str">
        <f>IF(A94="","",IF(M94&lt;=ProductsTable[[#This Row],[Reorder Point]],"REORDER","OK"))</f>
        <v/>
      </c>
    </row>
    <row r="95" spans="1:14">
      <c r="A95" s="15"/>
      <c r="B95" s="15"/>
      <c r="C95" s="15"/>
      <c r="D95" s="15"/>
      <c r="E95" s="15"/>
      <c r="F95" s="15"/>
      <c r="G95" s="16"/>
      <c r="H95" s="17"/>
      <c r="I95" s="17"/>
      <c r="J95" s="7" t="str">
        <f>IF(ProductsTable[[#This Row],[Unit Cost]]="","",SUMIFS(Transactions!F:F,Transactions!C:C,A95,Transactions!B:B,"Receipt"))</f>
        <v/>
      </c>
      <c r="K95" s="7" t="str">
        <f>IF(ProductsTable[[#This Row],[Unit Cost]]="","",SUMIFS(Transactions!F:F,Transactions!C:C,A95,Transactions!B:B,"Issue"))</f>
        <v/>
      </c>
      <c r="L95" s="7" t="str">
        <f>IF(ProductsTable[[#This Row],[Unit Cost]]="","",SUMIFS(Transactions!F:F,Transactions!C:C,A95,Transactions!B:B,"Adjustment +")-SUMIFS(Transactions!F:F,Transactions!C:C,A95,Transactions!B:B,"Adjustment -"))</f>
        <v/>
      </c>
      <c r="M95" s="13">
        <f>IF(ProductsTable[[#This Row],[Unit Cost]]&lt;&gt;"",H95+J95-K95+L95,ProductsTable[[#This Row],[Unit Cost]])</f>
        <v>0</v>
      </c>
      <c r="N95" s="8" t="str">
        <f>IF(A95="","",IF(M95&lt;=ProductsTable[[#This Row],[Reorder Point]],"REORDER","OK"))</f>
        <v/>
      </c>
    </row>
    <row r="96" spans="1:14">
      <c r="A96" s="15"/>
      <c r="B96" s="15"/>
      <c r="C96" s="15"/>
      <c r="D96" s="15"/>
      <c r="E96" s="15"/>
      <c r="F96" s="15"/>
      <c r="G96" s="16"/>
      <c r="H96" s="17"/>
      <c r="I96" s="17"/>
      <c r="J96" s="7" t="str">
        <f>IF(ProductsTable[[#This Row],[Unit Cost]]="","",SUMIFS(Transactions!F:F,Transactions!C:C,A96,Transactions!B:B,"Receipt"))</f>
        <v/>
      </c>
      <c r="K96" s="7" t="str">
        <f>IF(ProductsTable[[#This Row],[Unit Cost]]="","",SUMIFS(Transactions!F:F,Transactions!C:C,A96,Transactions!B:B,"Issue"))</f>
        <v/>
      </c>
      <c r="L96" s="7" t="str">
        <f>IF(ProductsTable[[#This Row],[Unit Cost]]="","",SUMIFS(Transactions!F:F,Transactions!C:C,A96,Transactions!B:B,"Adjustment +")-SUMIFS(Transactions!F:F,Transactions!C:C,A96,Transactions!B:B,"Adjustment -"))</f>
        <v/>
      </c>
      <c r="M96" s="13">
        <f>IF(ProductsTable[[#This Row],[Unit Cost]]&lt;&gt;"",H96+J96-K96+L96,ProductsTable[[#This Row],[Unit Cost]])</f>
        <v>0</v>
      </c>
      <c r="N96" s="8" t="str">
        <f>IF(A96="","",IF(M96&lt;=ProductsTable[[#This Row],[Reorder Point]],"REORDER","OK"))</f>
        <v/>
      </c>
    </row>
    <row r="97" spans="1:14">
      <c r="A97" s="15"/>
      <c r="B97" s="15"/>
      <c r="C97" s="15"/>
      <c r="D97" s="15"/>
      <c r="E97" s="15"/>
      <c r="F97" s="15"/>
      <c r="G97" s="16"/>
      <c r="H97" s="17"/>
      <c r="I97" s="17"/>
      <c r="J97" s="7" t="str">
        <f>IF(ProductsTable[[#This Row],[Unit Cost]]="","",SUMIFS(Transactions!F:F,Transactions!C:C,A97,Transactions!B:B,"Receipt"))</f>
        <v/>
      </c>
      <c r="K97" s="7" t="str">
        <f>IF(ProductsTable[[#This Row],[Unit Cost]]="","",SUMIFS(Transactions!F:F,Transactions!C:C,A97,Transactions!B:B,"Issue"))</f>
        <v/>
      </c>
      <c r="L97" s="7" t="str">
        <f>IF(ProductsTable[[#This Row],[Unit Cost]]="","",SUMIFS(Transactions!F:F,Transactions!C:C,A97,Transactions!B:B,"Adjustment +")-SUMIFS(Transactions!F:F,Transactions!C:C,A97,Transactions!B:B,"Adjustment -"))</f>
        <v/>
      </c>
      <c r="M97" s="13">
        <f>IF(ProductsTable[[#This Row],[Unit Cost]]&lt;&gt;"",H97+J97-K97+L97,ProductsTable[[#This Row],[Unit Cost]])</f>
        <v>0</v>
      </c>
      <c r="N97" s="8" t="str">
        <f>IF(A97="","",IF(M97&lt;=ProductsTable[[#This Row],[Reorder Point]],"REORDER","OK"))</f>
        <v/>
      </c>
    </row>
    <row r="98" spans="1:14">
      <c r="A98" s="15"/>
      <c r="B98" s="15"/>
      <c r="C98" s="15"/>
      <c r="D98" s="15"/>
      <c r="E98" s="15"/>
      <c r="F98" s="15"/>
      <c r="G98" s="16"/>
      <c r="H98" s="17"/>
      <c r="I98" s="17"/>
      <c r="J98" s="7" t="str">
        <f>IF(ProductsTable[[#This Row],[Unit Cost]]="","",SUMIFS(Transactions!F:F,Transactions!C:C,A98,Transactions!B:B,"Receipt"))</f>
        <v/>
      </c>
      <c r="K98" s="7" t="str">
        <f>IF(ProductsTable[[#This Row],[Unit Cost]]="","",SUMIFS(Transactions!F:F,Transactions!C:C,A98,Transactions!B:B,"Issue"))</f>
        <v/>
      </c>
      <c r="L98" s="7" t="str">
        <f>IF(ProductsTable[[#This Row],[Unit Cost]]="","",SUMIFS(Transactions!F:F,Transactions!C:C,A98,Transactions!B:B,"Adjustment +")-SUMIFS(Transactions!F:F,Transactions!C:C,A98,Transactions!B:B,"Adjustment -"))</f>
        <v/>
      </c>
      <c r="M98" s="13">
        <f>IF(ProductsTable[[#This Row],[Unit Cost]]&lt;&gt;"",H98+J98-K98+L98,ProductsTable[[#This Row],[Unit Cost]])</f>
        <v>0</v>
      </c>
      <c r="N98" s="8" t="str">
        <f>IF(A98="","",IF(M98&lt;=ProductsTable[[#This Row],[Reorder Point]],"REORDER","OK"))</f>
        <v/>
      </c>
    </row>
    <row r="99" spans="1:14">
      <c r="A99" s="15"/>
      <c r="B99" s="15"/>
      <c r="C99" s="15"/>
      <c r="D99" s="15"/>
      <c r="E99" s="15"/>
      <c r="F99" s="15"/>
      <c r="G99" s="16"/>
      <c r="H99" s="17"/>
      <c r="I99" s="17"/>
      <c r="J99" s="7" t="str">
        <f>IF(ProductsTable[[#This Row],[Unit Cost]]="","",SUMIFS(Transactions!F:F,Transactions!C:C,A99,Transactions!B:B,"Receipt"))</f>
        <v/>
      </c>
      <c r="K99" s="7" t="str">
        <f>IF(ProductsTable[[#This Row],[Unit Cost]]="","",SUMIFS(Transactions!F:F,Transactions!C:C,A99,Transactions!B:B,"Issue"))</f>
        <v/>
      </c>
      <c r="L99" s="7" t="str">
        <f>IF(ProductsTable[[#This Row],[Unit Cost]]="","",SUMIFS(Transactions!F:F,Transactions!C:C,A99,Transactions!B:B,"Adjustment +")-SUMIFS(Transactions!F:F,Transactions!C:C,A99,Transactions!B:B,"Adjustment -"))</f>
        <v/>
      </c>
      <c r="M99" s="13">
        <f>IF(ProductsTable[[#This Row],[Unit Cost]]&lt;&gt;"",H99+J99-K99+L99,ProductsTable[[#This Row],[Unit Cost]])</f>
        <v>0</v>
      </c>
      <c r="N99" s="8" t="str">
        <f>IF(A99="","",IF(M99&lt;=ProductsTable[[#This Row],[Reorder Point]],"REORDER","OK"))</f>
        <v/>
      </c>
    </row>
    <row r="100" spans="1:14">
      <c r="A100" s="15"/>
      <c r="B100" s="15"/>
      <c r="C100" s="15"/>
      <c r="D100" s="15"/>
      <c r="E100" s="15"/>
      <c r="F100" s="15"/>
      <c r="G100" s="16"/>
      <c r="H100" s="17"/>
      <c r="I100" s="17"/>
      <c r="J100" s="7" t="str">
        <f>IF(ProductsTable[[#This Row],[Unit Cost]]="","",SUMIFS(Transactions!F:F,Transactions!C:C,A100,Transactions!B:B,"Receipt"))</f>
        <v/>
      </c>
      <c r="K100" s="7" t="str">
        <f>IF(ProductsTable[[#This Row],[Unit Cost]]="","",SUMIFS(Transactions!F:F,Transactions!C:C,A100,Transactions!B:B,"Issue"))</f>
        <v/>
      </c>
      <c r="L100" s="7" t="str">
        <f>IF(ProductsTable[[#This Row],[Unit Cost]]="","",SUMIFS(Transactions!F:F,Transactions!C:C,A100,Transactions!B:B,"Adjustment +")-SUMIFS(Transactions!F:F,Transactions!C:C,A100,Transactions!B:B,"Adjustment -"))</f>
        <v/>
      </c>
      <c r="M100" s="13">
        <f>IF(ProductsTable[[#This Row],[Unit Cost]]&lt;&gt;"",H100+J100-K100+L100,ProductsTable[[#This Row],[Unit Cost]])</f>
        <v>0</v>
      </c>
      <c r="N100" s="8" t="str">
        <f>IF(A100="","",IF(M100&lt;=ProductsTable[[#This Row],[Reorder Point]],"REORDER","OK"))</f>
        <v/>
      </c>
    </row>
    <row r="101" spans="1:14">
      <c r="A101" s="15"/>
      <c r="B101" s="15"/>
      <c r="C101" s="15"/>
      <c r="D101" s="15"/>
      <c r="E101" s="15"/>
      <c r="F101" s="15"/>
      <c r="G101" s="16"/>
      <c r="H101" s="17"/>
      <c r="I101" s="17"/>
      <c r="J101" s="7" t="str">
        <f>IF(ProductsTable[[#This Row],[Unit Cost]]="","",SUMIFS(Transactions!F:F,Transactions!C:C,A101,Transactions!B:B,"Receipt"))</f>
        <v/>
      </c>
      <c r="K101" s="7" t="str">
        <f>IF(ProductsTable[[#This Row],[Unit Cost]]="","",SUMIFS(Transactions!F:F,Transactions!C:C,A101,Transactions!B:B,"Issue"))</f>
        <v/>
      </c>
      <c r="L101" s="7" t="str">
        <f>IF(ProductsTable[[#This Row],[Unit Cost]]="","",SUMIFS(Transactions!F:F,Transactions!C:C,A101,Transactions!B:B,"Adjustment +")-SUMIFS(Transactions!F:F,Transactions!C:C,A101,Transactions!B:B,"Adjustment -"))</f>
        <v/>
      </c>
      <c r="M101" s="13">
        <f>IF(ProductsTable[[#This Row],[Unit Cost]]&lt;&gt;"",H101+J101-K101+L101,ProductsTable[[#This Row],[Unit Cost]])</f>
        <v>0</v>
      </c>
      <c r="N101" s="8" t="str">
        <f>IF(A101="","",IF(M101&lt;=ProductsTable[[#This Row],[Reorder Point]],"REORDER","OK"))</f>
        <v/>
      </c>
    </row>
    <row r="102" spans="1:14">
      <c r="A102" s="15"/>
      <c r="B102" s="15"/>
      <c r="C102" s="15"/>
      <c r="D102" s="15"/>
      <c r="E102" s="15"/>
      <c r="F102" s="15"/>
      <c r="G102" s="16"/>
      <c r="H102" s="17"/>
      <c r="I102" s="17"/>
      <c r="J102" s="7" t="str">
        <f>IF(ProductsTable[[#This Row],[Unit Cost]]="","",SUMIFS(Transactions!F:F,Transactions!C:C,A102,Transactions!B:B,"Receipt"))</f>
        <v/>
      </c>
      <c r="K102" s="7" t="str">
        <f>IF(ProductsTable[[#This Row],[Unit Cost]]="","",SUMIFS(Transactions!F:F,Transactions!C:C,A102,Transactions!B:B,"Issue"))</f>
        <v/>
      </c>
      <c r="L102" s="7" t="str">
        <f>IF(ProductsTable[[#This Row],[Unit Cost]]="","",SUMIFS(Transactions!F:F,Transactions!C:C,A102,Transactions!B:B,"Adjustment +")-SUMIFS(Transactions!F:F,Transactions!C:C,A102,Transactions!B:B,"Adjustment -"))</f>
        <v/>
      </c>
      <c r="M102" s="13">
        <f>IF(ProductsTable[[#This Row],[Unit Cost]]&lt;&gt;"",H102+J102-K102+L102,ProductsTable[[#This Row],[Unit Cost]])</f>
        <v>0</v>
      </c>
      <c r="N102" s="8" t="str">
        <f>IF(A102="","",IF(M102&lt;=ProductsTable[[#This Row],[Reorder Point]],"REORDER","OK"))</f>
        <v/>
      </c>
    </row>
    <row r="103" spans="1:14">
      <c r="A103" s="15"/>
      <c r="B103" s="15"/>
      <c r="C103" s="15"/>
      <c r="D103" s="15"/>
      <c r="E103" s="15"/>
      <c r="F103" s="15"/>
      <c r="G103" s="16"/>
      <c r="H103" s="17"/>
      <c r="I103" s="17"/>
      <c r="J103" s="7" t="str">
        <f>IF(ProductsTable[[#This Row],[Unit Cost]]="","",SUMIFS(Transactions!F:F,Transactions!C:C,A103,Transactions!B:B,"Receipt"))</f>
        <v/>
      </c>
      <c r="K103" s="7" t="str">
        <f>IF(ProductsTable[[#This Row],[Unit Cost]]="","",SUMIFS(Transactions!F:F,Transactions!C:C,A103,Transactions!B:B,"Issue"))</f>
        <v/>
      </c>
      <c r="L103" s="7" t="str">
        <f>IF(ProductsTable[[#This Row],[Unit Cost]]="","",SUMIFS(Transactions!F:F,Transactions!C:C,A103,Transactions!B:B,"Adjustment +")-SUMIFS(Transactions!F:F,Transactions!C:C,A103,Transactions!B:B,"Adjustment -"))</f>
        <v/>
      </c>
      <c r="M103" s="13">
        <f>IF(ProductsTable[[#This Row],[Unit Cost]]&lt;&gt;"",H103+J103-K103+L103,ProductsTable[[#This Row],[Unit Cost]])</f>
        <v>0</v>
      </c>
      <c r="N103" s="8" t="str">
        <f>IF(A103="","",IF(M103&lt;=ProductsTable[[#This Row],[Reorder Point]],"REORDER","OK"))</f>
        <v/>
      </c>
    </row>
  </sheetData>
  <sheetProtection algorithmName="SHA-512" hashValue="fdLyIz5frLMw94gW2JsaghcUNa66Ygzh/pRI3go9vmX3sBOMuP1WsnNk+jxfFVWzBhKSe3d3kH87drIA0qN21Q==" saltValue="9jFrt4Tqh0nkS8W9kBwJ0w==" spinCount="100000" sheet="1" objects="1" scenarios="1"/>
  <mergeCells count="1">
    <mergeCell ref="A1:N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4C28FD-13B7-428D-80A6-21698D9927DC}">
          <x14:formula1>
            <xm:f>Lists!$A$4:$A$52</xm:f>
          </x14:formula1>
          <xm:sqref>C4:C103</xm:sqref>
        </x14:dataValidation>
        <x14:dataValidation type="list" allowBlank="1" showInputMessage="1" showErrorMessage="1" xr:uid="{73C759D2-7B3D-447C-99FD-BAFF571FDAC1}">
          <x14:formula1>
            <xm:f>Lists!$B$4:$B$52</xm:f>
          </x14:formula1>
          <xm:sqref>D4:D103</xm:sqref>
        </x14:dataValidation>
        <x14:dataValidation type="list" allowBlank="1" showInputMessage="1" showErrorMessage="1" xr:uid="{625026D8-84F7-4DD0-801E-C79455E118E5}">
          <x14:formula1>
            <xm:f>Lists!$E$4:$E$52</xm:f>
          </x14:formula1>
          <xm:sqref>E4:E103</xm:sqref>
        </x14:dataValidation>
        <x14:dataValidation type="list" allowBlank="1" showInputMessage="1" showErrorMessage="1" xr:uid="{B25610A4-A771-42B1-9C9C-EBF114C37025}">
          <x14:formula1>
            <xm:f>Lists!$F$4:$F$52</xm:f>
          </x14:formula1>
          <xm:sqref>F4:F103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6"/>
  <sheetViews>
    <sheetView workbookViewId="0">
      <selection activeCell="N33" sqref="N33"/>
    </sheetView>
  </sheetViews>
  <sheetFormatPr defaultRowHeight="13.8"/>
  <cols>
    <col min="1" max="2" width="16" customWidth="1"/>
    <col min="3" max="3" width="13" customWidth="1"/>
    <col min="4" max="4" width="24" customWidth="1"/>
    <col min="5" max="5" width="13" customWidth="1"/>
    <col min="6" max="6" width="11" customWidth="1"/>
    <col min="7" max="7" width="16" customWidth="1"/>
    <col min="8" max="8" width="18" customWidth="1"/>
    <col min="9" max="9" width="16" customWidth="1"/>
  </cols>
  <sheetData>
    <row r="1" spans="1:9" ht="24" customHeight="1">
      <c r="A1" s="22" t="s">
        <v>98</v>
      </c>
      <c r="B1" s="22"/>
      <c r="C1" s="22"/>
      <c r="D1" s="22"/>
      <c r="E1" s="22"/>
      <c r="F1" s="22"/>
      <c r="G1" s="22"/>
      <c r="H1" s="22"/>
      <c r="I1" s="22"/>
    </row>
    <row r="3" spans="1:9" ht="20.85" customHeight="1">
      <c r="A3" s="1" t="s">
        <v>99</v>
      </c>
      <c r="B3" s="1" t="s">
        <v>100</v>
      </c>
      <c r="C3" s="1" t="s">
        <v>68</v>
      </c>
      <c r="D3" s="1" t="s">
        <v>69</v>
      </c>
      <c r="E3" s="1" t="s">
        <v>101</v>
      </c>
      <c r="F3" s="1" t="s">
        <v>102</v>
      </c>
      <c r="G3" s="1" t="s">
        <v>103</v>
      </c>
      <c r="H3" s="1" t="s">
        <v>73</v>
      </c>
      <c r="I3" s="1" t="s">
        <v>104</v>
      </c>
    </row>
    <row r="4" spans="1:9">
      <c r="A4" t="s">
        <v>105</v>
      </c>
      <c r="B4" t="s">
        <v>9</v>
      </c>
      <c r="C4" t="s">
        <v>82</v>
      </c>
      <c r="D4" t="str">
        <f>IFERROR(VLOOKUP(C4,Products!$A$4:$B$103,2,FALSE),"")</f>
        <v>Copy Paper, Letter</v>
      </c>
      <c r="E4" s="3">
        <v>46235</v>
      </c>
      <c r="F4">
        <v>10</v>
      </c>
      <c r="G4" t="s">
        <v>106</v>
      </c>
      <c r="H4" t="s">
        <v>12</v>
      </c>
      <c r="I4" t="s">
        <v>178</v>
      </c>
    </row>
    <row r="5" spans="1:9">
      <c r="A5" t="s">
        <v>107</v>
      </c>
      <c r="B5" t="s">
        <v>15</v>
      </c>
      <c r="C5" t="s">
        <v>84</v>
      </c>
      <c r="D5" t="str">
        <f>IFERROR(VLOOKUP(C5,Products!$A$4:$B$103,2,FALSE),"")</f>
        <v>Blue Ballpoint Pens</v>
      </c>
      <c r="E5" s="3">
        <v>46236</v>
      </c>
      <c r="F5">
        <v>8</v>
      </c>
      <c r="G5" t="s">
        <v>108</v>
      </c>
      <c r="H5" t="s">
        <v>30</v>
      </c>
      <c r="I5" t="s">
        <v>178</v>
      </c>
    </row>
    <row r="6" spans="1:9">
      <c r="A6" t="s">
        <v>109</v>
      </c>
      <c r="B6" t="s">
        <v>9</v>
      </c>
      <c r="C6" t="s">
        <v>88</v>
      </c>
      <c r="D6" t="str">
        <f>IFERROR(VLOOKUP(C6,Products!$A$4:$B$103,2,FALSE),"")</f>
        <v>Wireless Mouse</v>
      </c>
      <c r="E6" s="3">
        <v>46237</v>
      </c>
      <c r="F6">
        <v>6</v>
      </c>
      <c r="G6" t="s">
        <v>110</v>
      </c>
      <c r="H6" t="s">
        <v>24</v>
      </c>
      <c r="I6" t="s">
        <v>178</v>
      </c>
    </row>
    <row r="7" spans="1:9">
      <c r="A7" t="s">
        <v>111</v>
      </c>
      <c r="B7" t="s">
        <v>15</v>
      </c>
      <c r="C7" t="s">
        <v>96</v>
      </c>
      <c r="D7" t="str">
        <f>IFERROR(VLOOKUP(C7,Products!$A$4:$B$103,2,FALSE),"")</f>
        <v>Packing Tape</v>
      </c>
      <c r="E7" s="3">
        <v>46238</v>
      </c>
      <c r="F7">
        <v>2</v>
      </c>
      <c r="G7" t="s">
        <v>112</v>
      </c>
      <c r="H7" t="s">
        <v>12</v>
      </c>
      <c r="I7" t="s">
        <v>178</v>
      </c>
    </row>
    <row r="8" spans="1:9">
      <c r="A8" t="s">
        <v>113</v>
      </c>
      <c r="B8" t="s">
        <v>27</v>
      </c>
      <c r="C8" t="s">
        <v>90</v>
      </c>
      <c r="D8" t="str">
        <f>IFERROR(VLOOKUP(C8,Products!$A$4:$B$103,2,FALSE),"")</f>
        <v>All-Purpose Cleaner</v>
      </c>
      <c r="E8" s="3">
        <v>46239</v>
      </c>
      <c r="F8">
        <v>1</v>
      </c>
      <c r="G8" t="s">
        <v>114</v>
      </c>
      <c r="H8" t="s">
        <v>12</v>
      </c>
      <c r="I8" t="s">
        <v>178</v>
      </c>
    </row>
    <row r="9" spans="1:9">
      <c r="A9" t="s">
        <v>115</v>
      </c>
      <c r="B9" t="s">
        <v>15</v>
      </c>
      <c r="C9" t="s">
        <v>94</v>
      </c>
      <c r="D9" t="str">
        <f>IFERROR(VLOOKUP(C9,Products!$A$4:$B$103,2,FALSE),"")</f>
        <v>Coffee Pods</v>
      </c>
      <c r="E9" s="3">
        <v>46240</v>
      </c>
      <c r="F9">
        <v>3</v>
      </c>
      <c r="G9" t="s">
        <v>116</v>
      </c>
      <c r="H9" t="s">
        <v>18</v>
      </c>
      <c r="I9" t="s">
        <v>178</v>
      </c>
    </row>
    <row r="10" spans="1:9">
      <c r="D10" t="str">
        <f>IFERROR(VLOOKUP(C10,Products!$A$4:$B$103,2,FALSE),"")</f>
        <v/>
      </c>
      <c r="E10" s="3"/>
    </row>
    <row r="11" spans="1:9">
      <c r="D11" t="str">
        <f>IFERROR(VLOOKUP(C11,Products!$A$4:$B$103,2,FALSE),"")</f>
        <v/>
      </c>
      <c r="E11" s="3"/>
    </row>
    <row r="12" spans="1:9">
      <c r="D12" t="str">
        <f>IFERROR(VLOOKUP(C12,Products!$A$4:$B$103,2,FALSE),"")</f>
        <v/>
      </c>
      <c r="E12" s="3"/>
    </row>
    <row r="13" spans="1:9">
      <c r="D13" t="str">
        <f>IFERROR(VLOOKUP(C13,Products!$A$4:$B$103,2,FALSE),"")</f>
        <v/>
      </c>
      <c r="E13" s="3"/>
    </row>
    <row r="14" spans="1:9">
      <c r="D14" t="str">
        <f>IFERROR(VLOOKUP(C14,Products!$A$4:$B$103,2,FALSE),"")</f>
        <v/>
      </c>
      <c r="E14" s="3"/>
    </row>
    <row r="15" spans="1:9">
      <c r="D15" t="str">
        <f>IFERROR(VLOOKUP(C15,Products!$A$4:$B$103,2,FALSE),"")</f>
        <v/>
      </c>
      <c r="E15" s="3"/>
    </row>
    <row r="16" spans="1:9">
      <c r="D16" t="str">
        <f>IFERROR(VLOOKUP(C16,Products!$A$4:$B$103,2,FALSE),"")</f>
        <v/>
      </c>
      <c r="E16" s="3"/>
    </row>
    <row r="17" spans="4:11">
      <c r="D17" t="str">
        <f>IFERROR(VLOOKUP(C17,Products!$A$4:$B$103,2,FALSE),"")</f>
        <v/>
      </c>
      <c r="E17" s="3"/>
      <c r="K17" t="s">
        <v>177</v>
      </c>
    </row>
    <row r="18" spans="4:11">
      <c r="D18" t="str">
        <f>IFERROR(VLOOKUP(C18,Products!$A$4:$B$103,2,FALSE),"")</f>
        <v/>
      </c>
      <c r="E18" s="3"/>
    </row>
    <row r="19" spans="4:11">
      <c r="D19" t="str">
        <f>IFERROR(VLOOKUP(C19,Products!$A$4:$B$103,2,FALSE),"")</f>
        <v/>
      </c>
      <c r="E19" s="3"/>
    </row>
    <row r="20" spans="4:11">
      <c r="D20" t="str">
        <f>IFERROR(VLOOKUP(C20,Products!$A$4:$B$103,2,FALSE),"")</f>
        <v/>
      </c>
      <c r="E20" s="3"/>
    </row>
    <row r="21" spans="4:11">
      <c r="D21" t="str">
        <f>IFERROR(VLOOKUP(C21,Products!$A$4:$B$103,2,FALSE),"")</f>
        <v/>
      </c>
      <c r="E21" s="3"/>
    </row>
    <row r="22" spans="4:11">
      <c r="D22" t="str">
        <f>IFERROR(VLOOKUP(C22,Products!$A$4:$B$103,2,FALSE),"")</f>
        <v/>
      </c>
      <c r="E22" s="3"/>
    </row>
    <row r="23" spans="4:11">
      <c r="D23" t="str">
        <f>IFERROR(VLOOKUP(C23,Products!$A$4:$B$103,2,FALSE),"")</f>
        <v/>
      </c>
      <c r="E23" s="3"/>
    </row>
    <row r="24" spans="4:11">
      <c r="D24" t="str">
        <f>IFERROR(VLOOKUP(C24,Products!$A$4:$B$103,2,FALSE),"")</f>
        <v/>
      </c>
      <c r="E24" s="3"/>
    </row>
    <row r="25" spans="4:11">
      <c r="D25" t="str">
        <f>IFERROR(VLOOKUP(C25,Products!$A$4:$B$103,2,FALSE),"")</f>
        <v/>
      </c>
      <c r="E25" s="3"/>
    </row>
    <row r="26" spans="4:11">
      <c r="D26" t="str">
        <f>IFERROR(VLOOKUP(C26,Products!$A$4:$B$103,2,FALSE),"")</f>
        <v/>
      </c>
      <c r="E26" s="3"/>
    </row>
    <row r="27" spans="4:11">
      <c r="D27" t="str">
        <f>IFERROR(VLOOKUP(C27,Products!$A$4:$B$103,2,FALSE),"")</f>
        <v/>
      </c>
      <c r="E27" s="3"/>
    </row>
    <row r="28" spans="4:11">
      <c r="D28" t="str">
        <f>IFERROR(VLOOKUP(C28,Products!$A$4:$B$103,2,FALSE),"")</f>
        <v/>
      </c>
      <c r="E28" s="3"/>
    </row>
    <row r="29" spans="4:11">
      <c r="D29" t="str">
        <f>IFERROR(VLOOKUP(C29,Products!$A$4:$B$103,2,FALSE),"")</f>
        <v/>
      </c>
      <c r="E29" s="3"/>
    </row>
    <row r="30" spans="4:11">
      <c r="D30" t="str">
        <f>IFERROR(VLOOKUP(C30,Products!$A$4:$B$103,2,FALSE),"")</f>
        <v/>
      </c>
      <c r="E30" s="3"/>
    </row>
    <row r="31" spans="4:11">
      <c r="D31" t="str">
        <f>IFERROR(VLOOKUP(C31,Products!$A$4:$B$103,2,FALSE),"")</f>
        <v/>
      </c>
      <c r="E31" s="3"/>
    </row>
    <row r="32" spans="4:11">
      <c r="D32" t="str">
        <f>IFERROR(VLOOKUP(C32,Products!$A$4:$B$103,2,FALSE),"")</f>
        <v/>
      </c>
      <c r="E32" s="3"/>
    </row>
    <row r="33" spans="4:5">
      <c r="D33" t="str">
        <f>IFERROR(VLOOKUP(C33,Products!$A$4:$B$103,2,FALSE),"")</f>
        <v/>
      </c>
      <c r="E33" s="3"/>
    </row>
    <row r="34" spans="4:5">
      <c r="D34" t="str">
        <f>IFERROR(VLOOKUP(C34,Products!$A$4:$B$103,2,FALSE),"")</f>
        <v/>
      </c>
      <c r="E34" s="3"/>
    </row>
    <row r="35" spans="4:5">
      <c r="D35" t="str">
        <f>IFERROR(VLOOKUP(C35,Products!$A$4:$B$103,2,FALSE),"")</f>
        <v/>
      </c>
      <c r="E35" s="3"/>
    </row>
    <row r="36" spans="4:5">
      <c r="D36" t="str">
        <f>IFERROR(VLOOKUP(C36,Products!$A$4:$B$103,2,FALSE),"")</f>
        <v/>
      </c>
      <c r="E36" s="3"/>
    </row>
    <row r="37" spans="4:5">
      <c r="D37" t="str">
        <f>IFERROR(VLOOKUP(C37,Products!$A$4:$B$103,2,FALSE),"")</f>
        <v/>
      </c>
      <c r="E37" s="3"/>
    </row>
    <row r="38" spans="4:5">
      <c r="D38" t="str">
        <f>IFERROR(VLOOKUP(C38,Products!$A$4:$B$103,2,FALSE),"")</f>
        <v/>
      </c>
      <c r="E38" s="3"/>
    </row>
    <row r="39" spans="4:5">
      <c r="D39" t="str">
        <f>IFERROR(VLOOKUP(C39,Products!$A$4:$B$103,2,FALSE),"")</f>
        <v/>
      </c>
      <c r="E39" s="3"/>
    </row>
    <row r="40" spans="4:5">
      <c r="D40" t="str">
        <f>IFERROR(VLOOKUP(C40,Products!$A$4:$B$103,2,FALSE),"")</f>
        <v/>
      </c>
      <c r="E40" s="3"/>
    </row>
    <row r="41" spans="4:5">
      <c r="D41" t="str">
        <f>IFERROR(VLOOKUP(C41,Products!$A$4:$B$103,2,FALSE),"")</f>
        <v/>
      </c>
      <c r="E41" s="3"/>
    </row>
    <row r="42" spans="4:5">
      <c r="D42" t="str">
        <f>IFERROR(VLOOKUP(C42,Products!$A$4:$B$103,2,FALSE),"")</f>
        <v/>
      </c>
      <c r="E42" s="3"/>
    </row>
    <row r="43" spans="4:5">
      <c r="D43" t="str">
        <f>IFERROR(VLOOKUP(C43,Products!$A$4:$B$103,2,FALSE),"")</f>
        <v/>
      </c>
      <c r="E43" s="3"/>
    </row>
    <row r="44" spans="4:5">
      <c r="D44" t="str">
        <f>IFERROR(VLOOKUP(C44,Products!$A$4:$B$103,2,FALSE),"")</f>
        <v/>
      </c>
      <c r="E44" s="3"/>
    </row>
    <row r="45" spans="4:5">
      <c r="D45" t="str">
        <f>IFERROR(VLOOKUP(C45,Products!$A$4:$B$103,2,FALSE),"")</f>
        <v/>
      </c>
      <c r="E45" s="3"/>
    </row>
    <row r="46" spans="4:5">
      <c r="D46" t="str">
        <f>IFERROR(VLOOKUP(C46,Products!$A$4:$B$103,2,FALSE),"")</f>
        <v/>
      </c>
      <c r="E46" s="3"/>
    </row>
    <row r="47" spans="4:5">
      <c r="D47" t="str">
        <f>IFERROR(VLOOKUP(C47,Products!$A$4:$B$103,2,FALSE),"")</f>
        <v/>
      </c>
      <c r="E47" s="3"/>
    </row>
    <row r="48" spans="4:5">
      <c r="D48" t="str">
        <f>IFERROR(VLOOKUP(C48,Products!$A$4:$B$103,2,FALSE),"")</f>
        <v/>
      </c>
      <c r="E48" s="3"/>
    </row>
    <row r="49" spans="4:5">
      <c r="D49" t="str">
        <f>IFERROR(VLOOKUP(C49,Products!$A$4:$B$103,2,FALSE),"")</f>
        <v/>
      </c>
      <c r="E49" s="3"/>
    </row>
    <row r="50" spans="4:5">
      <c r="D50" t="str">
        <f>IFERROR(VLOOKUP(C50,Products!$A$4:$B$103,2,FALSE),"")</f>
        <v/>
      </c>
      <c r="E50" s="3"/>
    </row>
    <row r="51" spans="4:5">
      <c r="D51" t="str">
        <f>IFERROR(VLOOKUP(C51,Products!$A$4:$B$103,2,FALSE),"")</f>
        <v/>
      </c>
      <c r="E51" s="3"/>
    </row>
    <row r="52" spans="4:5">
      <c r="D52" t="str">
        <f>IFERROR(VLOOKUP(C52,Products!$A$4:$B$103,2,FALSE),"")</f>
        <v/>
      </c>
      <c r="E52" s="3"/>
    </row>
    <row r="53" spans="4:5">
      <c r="D53" t="str">
        <f>IFERROR(VLOOKUP(C53,Products!$A$4:$B$103,2,FALSE),"")</f>
        <v/>
      </c>
      <c r="E53" s="3"/>
    </row>
    <row r="54" spans="4:5">
      <c r="D54" t="str">
        <f>IFERROR(VLOOKUP(C54,Products!$A$4:$B$103,2,FALSE),"")</f>
        <v/>
      </c>
      <c r="E54" s="3"/>
    </row>
    <row r="55" spans="4:5">
      <c r="D55" t="str">
        <f>IFERROR(VLOOKUP(C55,Products!$A$4:$B$103,2,FALSE),"")</f>
        <v/>
      </c>
      <c r="E55" s="3"/>
    </row>
    <row r="56" spans="4:5">
      <c r="D56" t="str">
        <f>IFERROR(VLOOKUP(C56,Products!$A$4:$B$103,2,FALSE),"")</f>
        <v/>
      </c>
      <c r="E56" s="3"/>
    </row>
    <row r="57" spans="4:5">
      <c r="D57" t="str">
        <f>IFERROR(VLOOKUP(C57,Products!$A$4:$B$103,2,FALSE),"")</f>
        <v/>
      </c>
      <c r="E57" s="3"/>
    </row>
    <row r="58" spans="4:5">
      <c r="D58" t="str">
        <f>IFERROR(VLOOKUP(C58,Products!$A$4:$B$103,2,FALSE),"")</f>
        <v/>
      </c>
      <c r="E58" s="3"/>
    </row>
    <row r="59" spans="4:5">
      <c r="D59" t="str">
        <f>IFERROR(VLOOKUP(C59,Products!$A$4:$B$103,2,FALSE),"")</f>
        <v/>
      </c>
      <c r="E59" s="3"/>
    </row>
    <row r="60" spans="4:5">
      <c r="D60" t="str">
        <f>IFERROR(VLOOKUP(C60,Products!$A$4:$B$103,2,FALSE),"")</f>
        <v/>
      </c>
      <c r="E60" s="3"/>
    </row>
    <row r="61" spans="4:5">
      <c r="D61" t="str">
        <f>IFERROR(VLOOKUP(C61,Products!$A$4:$B$103,2,FALSE),"")</f>
        <v/>
      </c>
      <c r="E61" s="3"/>
    </row>
    <row r="62" spans="4:5">
      <c r="D62" t="str">
        <f>IFERROR(VLOOKUP(C62,Products!$A$4:$B$103,2,FALSE),"")</f>
        <v/>
      </c>
      <c r="E62" s="3"/>
    </row>
    <row r="63" spans="4:5">
      <c r="D63" t="str">
        <f>IFERROR(VLOOKUP(C63,Products!$A$4:$B$103,2,FALSE),"")</f>
        <v/>
      </c>
      <c r="E63" s="3"/>
    </row>
    <row r="64" spans="4:5">
      <c r="D64" t="str">
        <f>IFERROR(VLOOKUP(C64,Products!$A$4:$B$103,2,FALSE),"")</f>
        <v/>
      </c>
      <c r="E64" s="3"/>
    </row>
    <row r="65" spans="4:5">
      <c r="D65" t="str">
        <f>IFERROR(VLOOKUP(C65,Products!$A$4:$B$103,2,FALSE),"")</f>
        <v/>
      </c>
      <c r="E65" s="3"/>
    </row>
    <row r="66" spans="4:5">
      <c r="D66" t="str">
        <f>IFERROR(VLOOKUP(C66,Products!$A$4:$B$103,2,FALSE),"")</f>
        <v/>
      </c>
      <c r="E66" s="3"/>
    </row>
    <row r="67" spans="4:5">
      <c r="D67" t="str">
        <f>IFERROR(VLOOKUP(C67,Products!$A$4:$B$103,2,FALSE),"")</f>
        <v/>
      </c>
      <c r="E67" s="3"/>
    </row>
    <row r="68" spans="4:5">
      <c r="D68" t="str">
        <f>IFERROR(VLOOKUP(C68,Products!$A$4:$B$103,2,FALSE),"")</f>
        <v/>
      </c>
      <c r="E68" s="3"/>
    </row>
    <row r="69" spans="4:5">
      <c r="D69" t="str">
        <f>IFERROR(VLOOKUP(C69,Products!$A$4:$B$103,2,FALSE),"")</f>
        <v/>
      </c>
      <c r="E69" s="3"/>
    </row>
    <row r="70" spans="4:5">
      <c r="D70" t="str">
        <f>IFERROR(VLOOKUP(C70,Products!$A$4:$B$103,2,FALSE),"")</f>
        <v/>
      </c>
      <c r="E70" s="3"/>
    </row>
    <row r="71" spans="4:5">
      <c r="D71" t="str">
        <f>IFERROR(VLOOKUP(C71,Products!$A$4:$B$103,2,FALSE),"")</f>
        <v/>
      </c>
      <c r="E71" s="3"/>
    </row>
    <row r="72" spans="4:5">
      <c r="D72" t="str">
        <f>IFERROR(VLOOKUP(C72,Products!$A$4:$B$103,2,FALSE),"")</f>
        <v/>
      </c>
      <c r="E72" s="3"/>
    </row>
    <row r="73" spans="4:5">
      <c r="D73" t="str">
        <f>IFERROR(VLOOKUP(C73,Products!$A$4:$B$103,2,FALSE),"")</f>
        <v/>
      </c>
      <c r="E73" s="3"/>
    </row>
    <row r="74" spans="4:5">
      <c r="D74" t="str">
        <f>IFERROR(VLOOKUP(C74,Products!$A$4:$B$103,2,FALSE),"")</f>
        <v/>
      </c>
      <c r="E74" s="3"/>
    </row>
    <row r="75" spans="4:5">
      <c r="D75" t="str">
        <f>IFERROR(VLOOKUP(C75,Products!$A$4:$B$103,2,FALSE),"")</f>
        <v/>
      </c>
      <c r="E75" s="3"/>
    </row>
    <row r="76" spans="4:5">
      <c r="D76" t="str">
        <f>IFERROR(VLOOKUP(C76,Products!$A$4:$B$103,2,FALSE),"")</f>
        <v/>
      </c>
      <c r="E76" s="3"/>
    </row>
    <row r="77" spans="4:5">
      <c r="D77" t="str">
        <f>IFERROR(VLOOKUP(C77,Products!$A$4:$B$103,2,FALSE),"")</f>
        <v/>
      </c>
      <c r="E77" s="3"/>
    </row>
    <row r="78" spans="4:5">
      <c r="D78" t="str">
        <f>IFERROR(VLOOKUP(C78,Products!$A$4:$B$103,2,FALSE),"")</f>
        <v/>
      </c>
      <c r="E78" s="3"/>
    </row>
    <row r="79" spans="4:5">
      <c r="D79" t="str">
        <f>IFERROR(VLOOKUP(C79,Products!$A$4:$B$103,2,FALSE),"")</f>
        <v/>
      </c>
      <c r="E79" s="3"/>
    </row>
    <row r="80" spans="4:5">
      <c r="D80" t="str">
        <f>IFERROR(VLOOKUP(C80,Products!$A$4:$B$103,2,FALSE),"")</f>
        <v/>
      </c>
      <c r="E80" s="3"/>
    </row>
    <row r="81" spans="4:5">
      <c r="D81" t="str">
        <f>IFERROR(VLOOKUP(C81,Products!$A$4:$B$103,2,FALSE),"")</f>
        <v/>
      </c>
      <c r="E81" s="3"/>
    </row>
    <row r="82" spans="4:5">
      <c r="D82" t="str">
        <f>IFERROR(VLOOKUP(C82,Products!$A$4:$B$103,2,FALSE),"")</f>
        <v/>
      </c>
      <c r="E82" s="3"/>
    </row>
    <row r="83" spans="4:5">
      <c r="D83" t="str">
        <f>IFERROR(VLOOKUP(C83,Products!$A$4:$B$103,2,FALSE),"")</f>
        <v/>
      </c>
      <c r="E83" s="3"/>
    </row>
    <row r="84" spans="4:5">
      <c r="D84" t="str">
        <f>IFERROR(VLOOKUP(C84,Products!$A$4:$B$103,2,FALSE),"")</f>
        <v/>
      </c>
      <c r="E84" s="3"/>
    </row>
    <row r="85" spans="4:5">
      <c r="D85" t="str">
        <f>IFERROR(VLOOKUP(C85,Products!$A$4:$B$103,2,FALSE),"")</f>
        <v/>
      </c>
      <c r="E85" s="3"/>
    </row>
    <row r="86" spans="4:5">
      <c r="D86" t="str">
        <f>IFERROR(VLOOKUP(C86,Products!$A$4:$B$103,2,FALSE),"")</f>
        <v/>
      </c>
      <c r="E86" s="3"/>
    </row>
    <row r="87" spans="4:5">
      <c r="D87" t="str">
        <f>IFERROR(VLOOKUP(C87,Products!$A$4:$B$103,2,FALSE),"")</f>
        <v/>
      </c>
      <c r="E87" s="3"/>
    </row>
    <row r="88" spans="4:5">
      <c r="D88" t="str">
        <f>IFERROR(VLOOKUP(C88,Products!$A$4:$B$103,2,FALSE),"")</f>
        <v/>
      </c>
      <c r="E88" s="3"/>
    </row>
    <row r="89" spans="4:5">
      <c r="D89" t="str">
        <f>IFERROR(VLOOKUP(C89,Products!$A$4:$B$103,2,FALSE),"")</f>
        <v/>
      </c>
      <c r="E89" s="3"/>
    </row>
    <row r="90" spans="4:5">
      <c r="D90" t="str">
        <f>IFERROR(VLOOKUP(C90,Products!$A$4:$B$103,2,FALSE),"")</f>
        <v/>
      </c>
      <c r="E90" s="3"/>
    </row>
    <row r="91" spans="4:5">
      <c r="D91" t="str">
        <f>IFERROR(VLOOKUP(C91,Products!$A$4:$B$103,2,FALSE),"")</f>
        <v/>
      </c>
      <c r="E91" s="3"/>
    </row>
    <row r="92" spans="4:5">
      <c r="D92" t="str">
        <f>IFERROR(VLOOKUP(C92,Products!$A$4:$B$103,2,FALSE),"")</f>
        <v/>
      </c>
      <c r="E92" s="3"/>
    </row>
    <row r="93" spans="4:5">
      <c r="D93" t="str">
        <f>IFERROR(VLOOKUP(C93,Products!$A$4:$B$103,2,FALSE),"")</f>
        <v/>
      </c>
      <c r="E93" s="3"/>
    </row>
    <row r="94" spans="4:5">
      <c r="D94" t="str">
        <f>IFERROR(VLOOKUP(C94,Products!$A$4:$B$103,2,FALSE),"")</f>
        <v/>
      </c>
      <c r="E94" s="3"/>
    </row>
    <row r="95" spans="4:5">
      <c r="D95" t="str">
        <f>IFERROR(VLOOKUP(C95,Products!$A$4:$B$103,2,FALSE),"")</f>
        <v/>
      </c>
      <c r="E95" s="3"/>
    </row>
    <row r="96" spans="4:5">
      <c r="D96" t="str">
        <f>IFERROR(VLOOKUP(C96,Products!$A$4:$B$103,2,FALSE),"")</f>
        <v/>
      </c>
      <c r="E96" s="3"/>
    </row>
    <row r="97" spans="4:5">
      <c r="D97" t="str">
        <f>IFERROR(VLOOKUP(C97,Products!$A$4:$B$103,2,FALSE),"")</f>
        <v/>
      </c>
      <c r="E97" s="3"/>
    </row>
    <row r="98" spans="4:5">
      <c r="D98" t="str">
        <f>IFERROR(VLOOKUP(C98,Products!$A$4:$B$103,2,FALSE),"")</f>
        <v/>
      </c>
      <c r="E98" s="3"/>
    </row>
    <row r="99" spans="4:5">
      <c r="D99" t="str">
        <f>IFERROR(VLOOKUP(C99,Products!$A$4:$B$103,2,FALSE),"")</f>
        <v/>
      </c>
      <c r="E99" s="3"/>
    </row>
    <row r="100" spans="4:5">
      <c r="D100" t="str">
        <f>IFERROR(VLOOKUP(C100,Products!$A$4:$B$103,2,FALSE),"")</f>
        <v/>
      </c>
      <c r="E100" s="3"/>
    </row>
    <row r="101" spans="4:5">
      <c r="D101" t="str">
        <f>IFERROR(VLOOKUP(C101,Products!$A$4:$B$103,2,FALSE),"")</f>
        <v/>
      </c>
      <c r="E101" s="3"/>
    </row>
    <row r="102" spans="4:5">
      <c r="D102" t="str">
        <f>IFERROR(VLOOKUP(C102,Products!$A$4:$B$103,2,FALSE),"")</f>
        <v/>
      </c>
      <c r="E102" s="3"/>
    </row>
    <row r="103" spans="4:5">
      <c r="D103" t="str">
        <f>IFERROR(VLOOKUP(C103,Products!$A$4:$B$103,2,FALSE),"")</f>
        <v/>
      </c>
      <c r="E103" s="3"/>
    </row>
    <row r="104" spans="4:5">
      <c r="D104" t="str">
        <f>IFERROR(VLOOKUP(C104,Products!$A$4:$B$103,2,FALSE),"")</f>
        <v/>
      </c>
      <c r="E104" s="3"/>
    </row>
    <row r="105" spans="4:5">
      <c r="D105" t="str">
        <f>IFERROR(VLOOKUP(C105,Products!$A$4:$B$103,2,FALSE),"")</f>
        <v/>
      </c>
      <c r="E105" s="3"/>
    </row>
    <row r="106" spans="4:5">
      <c r="D106" t="str">
        <f>IFERROR(VLOOKUP(C106,Products!$A$4:$B$103,2,FALSE),"")</f>
        <v/>
      </c>
      <c r="E106" s="3"/>
    </row>
    <row r="107" spans="4:5">
      <c r="D107" t="str">
        <f>IFERROR(VLOOKUP(C107,Products!$A$4:$B$103,2,FALSE),"")</f>
        <v/>
      </c>
      <c r="E107" s="3"/>
    </row>
    <row r="108" spans="4:5">
      <c r="D108" t="str">
        <f>IFERROR(VLOOKUP(C108,Products!$A$4:$B$103,2,FALSE),"")</f>
        <v/>
      </c>
      <c r="E108" s="3"/>
    </row>
    <row r="109" spans="4:5">
      <c r="D109" t="str">
        <f>IFERROR(VLOOKUP(C109,Products!$A$4:$B$103,2,FALSE),"")</f>
        <v/>
      </c>
      <c r="E109" s="3"/>
    </row>
    <row r="110" spans="4:5">
      <c r="D110" t="str">
        <f>IFERROR(VLOOKUP(C110,Products!$A$4:$B$103,2,FALSE),"")</f>
        <v/>
      </c>
      <c r="E110" s="3"/>
    </row>
    <row r="111" spans="4:5">
      <c r="D111" t="str">
        <f>IFERROR(VLOOKUP(C111,Products!$A$4:$B$103,2,FALSE),"")</f>
        <v/>
      </c>
      <c r="E111" s="3"/>
    </row>
    <row r="112" spans="4:5">
      <c r="D112" t="str">
        <f>IFERROR(VLOOKUP(C112,Products!$A$4:$B$103,2,FALSE),"")</f>
        <v/>
      </c>
      <c r="E112" s="3"/>
    </row>
    <row r="113" spans="4:5">
      <c r="D113" t="str">
        <f>IFERROR(VLOOKUP(C113,Products!$A$4:$B$103,2,FALSE),"")</f>
        <v/>
      </c>
      <c r="E113" s="3"/>
    </row>
    <row r="114" spans="4:5">
      <c r="D114" t="str">
        <f>IFERROR(VLOOKUP(C114,Products!$A$4:$B$103,2,FALSE),"")</f>
        <v/>
      </c>
      <c r="E114" s="3"/>
    </row>
    <row r="115" spans="4:5">
      <c r="D115" t="str">
        <f>IFERROR(VLOOKUP(C115,Products!$A$4:$B$103,2,FALSE),"")</f>
        <v/>
      </c>
      <c r="E115" s="3"/>
    </row>
    <row r="116" spans="4:5">
      <c r="D116" t="str">
        <f>IFERROR(VLOOKUP(C116,Products!$A$4:$B$103,2,FALSE),"")</f>
        <v/>
      </c>
      <c r="E116" s="3"/>
    </row>
    <row r="117" spans="4:5">
      <c r="D117" t="str">
        <f>IFERROR(VLOOKUP(C117,Products!$A$4:$B$103,2,FALSE),"")</f>
        <v/>
      </c>
      <c r="E117" s="3"/>
    </row>
    <row r="118" spans="4:5">
      <c r="D118" t="str">
        <f>IFERROR(VLOOKUP(C118,Products!$A$4:$B$103,2,FALSE),"")</f>
        <v/>
      </c>
      <c r="E118" s="3"/>
    </row>
    <row r="119" spans="4:5">
      <c r="D119" t="str">
        <f>IFERROR(VLOOKUP(C119,Products!$A$4:$B$103,2,FALSE),"")</f>
        <v/>
      </c>
      <c r="E119" s="3"/>
    </row>
    <row r="120" spans="4:5">
      <c r="D120" t="str">
        <f>IFERROR(VLOOKUP(C120,Products!$A$4:$B$103,2,FALSE),"")</f>
        <v/>
      </c>
      <c r="E120" s="3"/>
    </row>
    <row r="121" spans="4:5">
      <c r="D121" t="str">
        <f>IFERROR(VLOOKUP(C121,Products!$A$4:$B$103,2,FALSE),"")</f>
        <v/>
      </c>
      <c r="E121" s="3"/>
    </row>
    <row r="122" spans="4:5">
      <c r="D122" t="str">
        <f>IFERROR(VLOOKUP(C122,Products!$A$4:$B$103,2,FALSE),"")</f>
        <v/>
      </c>
      <c r="E122" s="3"/>
    </row>
    <row r="123" spans="4:5">
      <c r="D123" t="str">
        <f>IFERROR(VLOOKUP(C123,Products!$A$4:$B$103,2,FALSE),"")</f>
        <v/>
      </c>
      <c r="E123" s="3"/>
    </row>
    <row r="124" spans="4:5">
      <c r="D124" t="str">
        <f>IFERROR(VLOOKUP(C124,Products!$A$4:$B$103,2,FALSE),"")</f>
        <v/>
      </c>
      <c r="E124" s="3"/>
    </row>
    <row r="125" spans="4:5">
      <c r="D125" t="str">
        <f>IFERROR(VLOOKUP(C125,Products!$A$4:$B$103,2,FALSE),"")</f>
        <v/>
      </c>
      <c r="E125" s="3"/>
    </row>
    <row r="126" spans="4:5">
      <c r="D126" t="str">
        <f>IFERROR(VLOOKUP(C126,Products!$A$4:$B$103,2,FALSE),"")</f>
        <v/>
      </c>
      <c r="E126" s="3"/>
    </row>
    <row r="127" spans="4:5">
      <c r="D127" t="str">
        <f>IFERROR(VLOOKUP(C127,Products!$A$4:$B$103,2,FALSE),"")</f>
        <v/>
      </c>
      <c r="E127" s="3"/>
    </row>
    <row r="128" spans="4:5">
      <c r="D128" t="str">
        <f>IFERROR(VLOOKUP(C128,Products!$A$4:$B$103,2,FALSE),"")</f>
        <v/>
      </c>
      <c r="E128" s="3"/>
    </row>
    <row r="129" spans="4:5">
      <c r="D129" t="str">
        <f>IFERROR(VLOOKUP(C129,Products!$A$4:$B$103,2,FALSE),"")</f>
        <v/>
      </c>
      <c r="E129" s="3"/>
    </row>
    <row r="130" spans="4:5">
      <c r="D130" t="str">
        <f>IFERROR(VLOOKUP(C130,Products!$A$4:$B$103,2,FALSE),"")</f>
        <v/>
      </c>
      <c r="E130" s="3"/>
    </row>
    <row r="131" spans="4:5">
      <c r="D131" t="str">
        <f>IFERROR(VLOOKUP(C131,Products!$A$4:$B$103,2,FALSE),"")</f>
        <v/>
      </c>
      <c r="E131" s="3"/>
    </row>
    <row r="132" spans="4:5">
      <c r="D132" t="str">
        <f>IFERROR(VLOOKUP(C132,Products!$A$4:$B$103,2,FALSE),"")</f>
        <v/>
      </c>
      <c r="E132" s="3"/>
    </row>
    <row r="133" spans="4:5">
      <c r="D133" t="str">
        <f>IFERROR(VLOOKUP(C133,Products!$A$4:$B$103,2,FALSE),"")</f>
        <v/>
      </c>
      <c r="E133" s="3"/>
    </row>
    <row r="134" spans="4:5">
      <c r="D134" t="str">
        <f>IFERROR(VLOOKUP(C134,Products!$A$4:$B$103,2,FALSE),"")</f>
        <v/>
      </c>
      <c r="E134" s="3"/>
    </row>
    <row r="135" spans="4:5">
      <c r="D135" t="str">
        <f>IFERROR(VLOOKUP(C135,Products!$A$4:$B$103,2,FALSE),"")</f>
        <v/>
      </c>
      <c r="E135" s="3"/>
    </row>
    <row r="136" spans="4:5">
      <c r="D136" t="str">
        <f>IFERROR(VLOOKUP(C136,Products!$A$4:$B$103,2,FALSE),"")</f>
        <v/>
      </c>
      <c r="E136" s="3"/>
    </row>
    <row r="137" spans="4:5">
      <c r="D137" t="str">
        <f>IFERROR(VLOOKUP(C137,Products!$A$4:$B$103,2,FALSE),"")</f>
        <v/>
      </c>
      <c r="E137" s="3"/>
    </row>
    <row r="138" spans="4:5">
      <c r="D138" t="str">
        <f>IFERROR(VLOOKUP(C138,Products!$A$4:$B$103,2,FALSE),"")</f>
        <v/>
      </c>
      <c r="E138" s="3"/>
    </row>
    <row r="139" spans="4:5">
      <c r="D139" t="str">
        <f>IFERROR(VLOOKUP(C139,Products!$A$4:$B$103,2,FALSE),"")</f>
        <v/>
      </c>
      <c r="E139" s="3"/>
    </row>
    <row r="140" spans="4:5">
      <c r="D140" t="str">
        <f>IFERROR(VLOOKUP(C140,Products!$A$4:$B$103,2,FALSE),"")</f>
        <v/>
      </c>
      <c r="E140" s="3"/>
    </row>
    <row r="141" spans="4:5">
      <c r="D141" t="str">
        <f>IFERROR(VLOOKUP(C141,Products!$A$4:$B$103,2,FALSE),"")</f>
        <v/>
      </c>
      <c r="E141" s="3"/>
    </row>
    <row r="142" spans="4:5">
      <c r="D142" t="str">
        <f>IFERROR(VLOOKUP(C142,Products!$A$4:$B$103,2,FALSE),"")</f>
        <v/>
      </c>
      <c r="E142" s="3"/>
    </row>
    <row r="143" spans="4:5">
      <c r="D143" t="str">
        <f>IFERROR(VLOOKUP(C143,Products!$A$4:$B$103,2,FALSE),"")</f>
        <v/>
      </c>
      <c r="E143" s="3"/>
    </row>
    <row r="144" spans="4:5">
      <c r="D144" t="str">
        <f>IFERROR(VLOOKUP(C144,Products!$A$4:$B$103,2,FALSE),"")</f>
        <v/>
      </c>
      <c r="E144" s="3"/>
    </row>
    <row r="145" spans="4:5">
      <c r="D145" t="str">
        <f>IFERROR(VLOOKUP(C145,Products!$A$4:$B$103,2,FALSE),"")</f>
        <v/>
      </c>
      <c r="E145" s="3"/>
    </row>
    <row r="146" spans="4:5">
      <c r="D146" t="str">
        <f>IFERROR(VLOOKUP(C146,Products!$A$4:$B$103,2,FALSE),"")</f>
        <v/>
      </c>
      <c r="E146" s="3"/>
    </row>
    <row r="147" spans="4:5">
      <c r="D147" t="str">
        <f>IFERROR(VLOOKUP(C147,Products!$A$4:$B$103,2,FALSE),"")</f>
        <v/>
      </c>
      <c r="E147" s="3"/>
    </row>
    <row r="148" spans="4:5">
      <c r="D148" t="str">
        <f>IFERROR(VLOOKUP(C148,Products!$A$4:$B$103,2,FALSE),"")</f>
        <v/>
      </c>
      <c r="E148" s="3"/>
    </row>
    <row r="149" spans="4:5">
      <c r="D149" t="str">
        <f>IFERROR(VLOOKUP(C149,Products!$A$4:$B$103,2,FALSE),"")</f>
        <v/>
      </c>
      <c r="E149" s="3"/>
    </row>
    <row r="150" spans="4:5">
      <c r="D150" t="str">
        <f>IFERROR(VLOOKUP(C150,Products!$A$4:$B$103,2,FALSE),"")</f>
        <v/>
      </c>
      <c r="E150" s="3"/>
    </row>
    <row r="151" spans="4:5">
      <c r="D151" t="str">
        <f>IFERROR(VLOOKUP(C151,Products!$A$4:$B$103,2,FALSE),"")</f>
        <v/>
      </c>
      <c r="E151" s="3"/>
    </row>
    <row r="152" spans="4:5">
      <c r="D152" t="str">
        <f>IFERROR(VLOOKUP(C152,Products!$A$4:$B$103,2,FALSE),"")</f>
        <v/>
      </c>
      <c r="E152" s="3"/>
    </row>
    <row r="153" spans="4:5">
      <c r="D153" t="str">
        <f>IFERROR(VLOOKUP(C153,Products!$A$4:$B$103,2,FALSE),"")</f>
        <v/>
      </c>
      <c r="E153" s="3"/>
    </row>
    <row r="154" spans="4:5">
      <c r="D154" t="str">
        <f>IFERROR(VLOOKUP(C154,Products!$A$4:$B$103,2,FALSE),"")</f>
        <v/>
      </c>
      <c r="E154" s="3"/>
    </row>
    <row r="155" spans="4:5">
      <c r="D155" t="str">
        <f>IFERROR(VLOOKUP(C155,Products!$A$4:$B$103,2,FALSE),"")</f>
        <v/>
      </c>
      <c r="E155" s="3"/>
    </row>
    <row r="156" spans="4:5">
      <c r="D156" t="str">
        <f>IFERROR(VLOOKUP(C156,Products!$A$4:$B$103,2,FALSE),"")</f>
        <v/>
      </c>
      <c r="E156" s="3"/>
    </row>
    <row r="157" spans="4:5">
      <c r="D157" t="str">
        <f>IFERROR(VLOOKUP(C157,Products!$A$4:$B$103,2,FALSE),"")</f>
        <v/>
      </c>
      <c r="E157" s="3"/>
    </row>
    <row r="158" spans="4:5">
      <c r="D158" t="str">
        <f>IFERROR(VLOOKUP(C158,Products!$A$4:$B$103,2,FALSE),"")</f>
        <v/>
      </c>
      <c r="E158" s="3"/>
    </row>
    <row r="159" spans="4:5">
      <c r="D159" t="str">
        <f>IFERROR(VLOOKUP(C159,Products!$A$4:$B$103,2,FALSE),"")</f>
        <v/>
      </c>
      <c r="E159" s="3"/>
    </row>
    <row r="160" spans="4:5">
      <c r="D160" t="str">
        <f>IFERROR(VLOOKUP(C160,Products!$A$4:$B$103,2,FALSE),"")</f>
        <v/>
      </c>
      <c r="E160" s="3"/>
    </row>
    <row r="161" spans="4:5">
      <c r="D161" t="str">
        <f>IFERROR(VLOOKUP(C161,Products!$A$4:$B$103,2,FALSE),"")</f>
        <v/>
      </c>
      <c r="E161" s="3"/>
    </row>
    <row r="162" spans="4:5">
      <c r="D162" t="str">
        <f>IFERROR(VLOOKUP(C162,Products!$A$4:$B$103,2,FALSE),"")</f>
        <v/>
      </c>
      <c r="E162" s="3"/>
    </row>
    <row r="163" spans="4:5">
      <c r="D163" t="str">
        <f>IFERROR(VLOOKUP(C163,Products!$A$4:$B$103,2,FALSE),"")</f>
        <v/>
      </c>
      <c r="E163" s="3"/>
    </row>
    <row r="164" spans="4:5">
      <c r="D164" t="str">
        <f>IFERROR(VLOOKUP(C164,Products!$A$4:$B$103,2,FALSE),"")</f>
        <v/>
      </c>
      <c r="E164" s="3"/>
    </row>
    <row r="165" spans="4:5">
      <c r="D165" t="str">
        <f>IFERROR(VLOOKUP(C165,Products!$A$4:$B$103,2,FALSE),"")</f>
        <v/>
      </c>
      <c r="E165" s="3"/>
    </row>
    <row r="166" spans="4:5">
      <c r="D166" t="str">
        <f>IFERROR(VLOOKUP(C166,Products!$A$4:$B$103,2,FALSE),"")</f>
        <v/>
      </c>
      <c r="E166" s="3"/>
    </row>
    <row r="167" spans="4:5">
      <c r="D167" t="str">
        <f>IFERROR(VLOOKUP(C167,Products!$A$4:$B$103,2,FALSE),"")</f>
        <v/>
      </c>
      <c r="E167" s="3"/>
    </row>
    <row r="168" spans="4:5">
      <c r="D168" t="str">
        <f>IFERROR(VLOOKUP(C168,Products!$A$4:$B$103,2,FALSE),"")</f>
        <v/>
      </c>
      <c r="E168" s="3"/>
    </row>
    <row r="169" spans="4:5">
      <c r="D169" t="str">
        <f>IFERROR(VLOOKUP(C169,Products!$A$4:$B$103,2,FALSE),"")</f>
        <v/>
      </c>
      <c r="E169" s="3"/>
    </row>
    <row r="170" spans="4:5">
      <c r="D170" t="str">
        <f>IFERROR(VLOOKUP(C170,Products!$A$4:$B$103,2,FALSE),"")</f>
        <v/>
      </c>
      <c r="E170" s="3"/>
    </row>
    <row r="171" spans="4:5">
      <c r="D171" t="str">
        <f>IFERROR(VLOOKUP(C171,Products!$A$4:$B$103,2,FALSE),"")</f>
        <v/>
      </c>
      <c r="E171" s="3"/>
    </row>
    <row r="172" spans="4:5">
      <c r="D172" t="str">
        <f>IFERROR(VLOOKUP(C172,Products!$A$4:$B$103,2,FALSE),"")</f>
        <v/>
      </c>
      <c r="E172" s="3"/>
    </row>
    <row r="173" spans="4:5">
      <c r="D173" t="str">
        <f>IFERROR(VLOOKUP(C173,Products!$A$4:$B$103,2,FALSE),"")</f>
        <v/>
      </c>
      <c r="E173" s="3"/>
    </row>
    <row r="174" spans="4:5">
      <c r="D174" t="str">
        <f>IFERROR(VLOOKUP(C174,Products!$A$4:$B$103,2,FALSE),"")</f>
        <v/>
      </c>
      <c r="E174" s="3"/>
    </row>
    <row r="175" spans="4:5">
      <c r="D175" t="str">
        <f>IFERROR(VLOOKUP(C175,Products!$A$4:$B$103,2,FALSE),"")</f>
        <v/>
      </c>
      <c r="E175" s="3"/>
    </row>
    <row r="176" spans="4:5">
      <c r="D176" t="str">
        <f>IFERROR(VLOOKUP(C176,Products!$A$4:$B$103,2,FALSE),"")</f>
        <v/>
      </c>
      <c r="E176" s="3"/>
    </row>
    <row r="177" spans="4:5">
      <c r="D177" t="str">
        <f>IFERROR(VLOOKUP(C177,Products!$A$4:$B$103,2,FALSE),"")</f>
        <v/>
      </c>
      <c r="E177" s="3"/>
    </row>
    <row r="178" spans="4:5">
      <c r="D178" t="str">
        <f>IFERROR(VLOOKUP(C178,Products!$A$4:$B$103,2,FALSE),"")</f>
        <v/>
      </c>
      <c r="E178" s="3"/>
    </row>
    <row r="179" spans="4:5">
      <c r="D179" t="str">
        <f>IFERROR(VLOOKUP(C179,Products!$A$4:$B$103,2,FALSE),"")</f>
        <v/>
      </c>
      <c r="E179" s="3"/>
    </row>
    <row r="180" spans="4:5">
      <c r="D180" t="str">
        <f>IFERROR(VLOOKUP(C180,Products!$A$4:$B$103,2,FALSE),"")</f>
        <v/>
      </c>
      <c r="E180" s="3"/>
    </row>
    <row r="181" spans="4:5">
      <c r="D181" t="str">
        <f>IFERROR(VLOOKUP(C181,Products!$A$4:$B$103,2,FALSE),"")</f>
        <v/>
      </c>
      <c r="E181" s="3"/>
    </row>
    <row r="182" spans="4:5">
      <c r="D182" t="str">
        <f>IFERROR(VLOOKUP(C182,Products!$A$4:$B$103,2,FALSE),"")</f>
        <v/>
      </c>
      <c r="E182" s="3"/>
    </row>
    <row r="183" spans="4:5">
      <c r="D183" t="str">
        <f>IFERROR(VLOOKUP(C183,Products!$A$4:$B$103,2,FALSE),"")</f>
        <v/>
      </c>
      <c r="E183" s="3"/>
    </row>
    <row r="184" spans="4:5">
      <c r="D184" t="str">
        <f>IFERROR(VLOOKUP(C184,Products!$A$4:$B$103,2,FALSE),"")</f>
        <v/>
      </c>
      <c r="E184" s="3"/>
    </row>
    <row r="185" spans="4:5">
      <c r="D185" t="str">
        <f>IFERROR(VLOOKUP(C185,Products!$A$4:$B$103,2,FALSE),"")</f>
        <v/>
      </c>
      <c r="E185" s="3"/>
    </row>
    <row r="186" spans="4:5">
      <c r="D186" t="str">
        <f>IFERROR(VLOOKUP(C186,Products!$A$4:$B$103,2,FALSE),"")</f>
        <v/>
      </c>
      <c r="E186" s="3"/>
    </row>
    <row r="187" spans="4:5">
      <c r="D187" t="str">
        <f>IFERROR(VLOOKUP(C187,Products!$A$4:$B$103,2,FALSE),"")</f>
        <v/>
      </c>
      <c r="E187" s="3"/>
    </row>
    <row r="188" spans="4:5">
      <c r="D188" t="str">
        <f>IFERROR(VLOOKUP(C188,Products!$A$4:$B$103,2,FALSE),"")</f>
        <v/>
      </c>
      <c r="E188" s="3"/>
    </row>
    <row r="189" spans="4:5">
      <c r="D189" t="str">
        <f>IFERROR(VLOOKUP(C189,Products!$A$4:$B$103,2,FALSE),"")</f>
        <v/>
      </c>
      <c r="E189" s="3"/>
    </row>
    <row r="190" spans="4:5">
      <c r="D190" t="str">
        <f>IFERROR(VLOOKUP(C190,Products!$A$4:$B$103,2,FALSE),"")</f>
        <v/>
      </c>
      <c r="E190" s="3"/>
    </row>
    <row r="191" spans="4:5">
      <c r="D191" t="str">
        <f>IFERROR(VLOOKUP(C191,Products!$A$4:$B$103,2,FALSE),"")</f>
        <v/>
      </c>
      <c r="E191" s="3"/>
    </row>
    <row r="192" spans="4:5">
      <c r="D192" t="str">
        <f>IFERROR(VLOOKUP(C192,Products!$A$4:$B$103,2,FALSE),"")</f>
        <v/>
      </c>
      <c r="E192" s="3"/>
    </row>
    <row r="193" spans="4:5">
      <c r="D193" t="str">
        <f>IFERROR(VLOOKUP(C193,Products!$A$4:$B$103,2,FALSE),"")</f>
        <v/>
      </c>
      <c r="E193" s="3"/>
    </row>
    <row r="194" spans="4:5">
      <c r="D194" t="str">
        <f>IFERROR(VLOOKUP(C194,Products!$A$4:$B$103,2,FALSE),"")</f>
        <v/>
      </c>
      <c r="E194" s="3"/>
    </row>
    <row r="195" spans="4:5">
      <c r="D195" t="str">
        <f>IFERROR(VLOOKUP(C195,Products!$A$4:$B$103,2,FALSE),"")</f>
        <v/>
      </c>
      <c r="E195" s="3"/>
    </row>
    <row r="196" spans="4:5">
      <c r="D196" t="str">
        <f>IFERROR(VLOOKUP(C196,Products!$A$4:$B$103,2,FALSE),"")</f>
        <v/>
      </c>
      <c r="E196" s="3"/>
    </row>
    <row r="197" spans="4:5">
      <c r="D197" t="str">
        <f>IFERROR(VLOOKUP(C197,Products!$A$4:$B$103,2,FALSE),"")</f>
        <v/>
      </c>
      <c r="E197" s="3"/>
    </row>
    <row r="198" spans="4:5">
      <c r="D198" t="str">
        <f>IFERROR(VLOOKUP(C198,Products!$A$4:$B$103,2,FALSE),"")</f>
        <v/>
      </c>
      <c r="E198" s="3"/>
    </row>
    <row r="199" spans="4:5">
      <c r="D199" t="str">
        <f>IFERROR(VLOOKUP(C199,Products!$A$4:$B$103,2,FALSE),"")</f>
        <v/>
      </c>
      <c r="E199" s="3"/>
    </row>
    <row r="200" spans="4:5">
      <c r="D200" t="str">
        <f>IFERROR(VLOOKUP(C200,Products!$A$4:$B$103,2,FALSE),"")</f>
        <v/>
      </c>
      <c r="E200" s="3"/>
    </row>
    <row r="201" spans="4:5">
      <c r="D201" t="str">
        <f>IFERROR(VLOOKUP(C201,Products!$A$4:$B$103,2,FALSE),"")</f>
        <v/>
      </c>
      <c r="E201" s="3"/>
    </row>
    <row r="202" spans="4:5">
      <c r="D202" t="str">
        <f>IFERROR(VLOOKUP(C202,Products!$A$4:$B$103,2,FALSE),"")</f>
        <v/>
      </c>
      <c r="E202" s="3"/>
    </row>
    <row r="203" spans="4:5">
      <c r="D203" t="str">
        <f>IFERROR(VLOOKUP(C203,Products!$A$4:$B$103,2,FALSE),"")</f>
        <v/>
      </c>
      <c r="E203" s="3"/>
    </row>
    <row r="204" spans="4:5">
      <c r="D204" t="str">
        <f>IFERROR(VLOOKUP(C204,Products!$A$4:$B$103,2,FALSE),"")</f>
        <v/>
      </c>
      <c r="E204" s="3"/>
    </row>
    <row r="205" spans="4:5">
      <c r="D205" t="str">
        <f>IFERROR(VLOOKUP(C205,Products!$A$4:$B$103,2,FALSE),"")</f>
        <v/>
      </c>
      <c r="E205" s="3"/>
    </row>
    <row r="206" spans="4:5">
      <c r="D206" t="str">
        <f>IFERROR(VLOOKUP(C206,Products!$A$4:$B$103,2,FALSE),"")</f>
        <v/>
      </c>
      <c r="E206" s="3"/>
    </row>
    <row r="207" spans="4:5">
      <c r="D207" t="str">
        <f>IFERROR(VLOOKUP(C207,Products!$A$4:$B$103,2,FALSE),"")</f>
        <v/>
      </c>
      <c r="E207" s="3"/>
    </row>
    <row r="208" spans="4:5">
      <c r="D208" t="str">
        <f>IFERROR(VLOOKUP(C208,Products!$A$4:$B$103,2,FALSE),"")</f>
        <v/>
      </c>
      <c r="E208" s="3"/>
    </row>
    <row r="209" spans="4:5">
      <c r="D209" t="str">
        <f>IFERROR(VLOOKUP(C209,Products!$A$4:$B$103,2,FALSE),"")</f>
        <v/>
      </c>
      <c r="E209" s="3"/>
    </row>
    <row r="210" spans="4:5">
      <c r="D210" t="str">
        <f>IFERROR(VLOOKUP(C210,Products!$A$4:$B$103,2,FALSE),"")</f>
        <v/>
      </c>
      <c r="E210" s="3"/>
    </row>
    <row r="211" spans="4:5">
      <c r="D211" t="str">
        <f>IFERROR(VLOOKUP(C211,Products!$A$4:$B$103,2,FALSE),"")</f>
        <v/>
      </c>
      <c r="E211" s="3"/>
    </row>
    <row r="212" spans="4:5">
      <c r="D212" t="str">
        <f>IFERROR(VLOOKUP(C212,Products!$A$4:$B$103,2,FALSE),"")</f>
        <v/>
      </c>
      <c r="E212" s="3"/>
    </row>
    <row r="213" spans="4:5">
      <c r="D213" t="str">
        <f>IFERROR(VLOOKUP(C213,Products!$A$4:$B$103,2,FALSE),"")</f>
        <v/>
      </c>
      <c r="E213" s="3"/>
    </row>
    <row r="214" spans="4:5">
      <c r="D214" t="str">
        <f>IFERROR(VLOOKUP(C214,Products!$A$4:$B$103,2,FALSE),"")</f>
        <v/>
      </c>
      <c r="E214" s="3"/>
    </row>
    <row r="215" spans="4:5">
      <c r="D215" t="str">
        <f>IFERROR(VLOOKUP(C215,Products!$A$4:$B$103,2,FALSE),"")</f>
        <v/>
      </c>
      <c r="E215" s="3"/>
    </row>
    <row r="216" spans="4:5">
      <c r="D216" t="str">
        <f>IFERROR(VLOOKUP(C216,Products!$A$4:$B$103,2,FALSE),"")</f>
        <v/>
      </c>
      <c r="E216" s="3"/>
    </row>
    <row r="217" spans="4:5">
      <c r="D217" t="str">
        <f>IFERROR(VLOOKUP(C217,Products!$A$4:$B$103,2,FALSE),"")</f>
        <v/>
      </c>
      <c r="E217" s="3"/>
    </row>
    <row r="218" spans="4:5">
      <c r="D218" t="str">
        <f>IFERROR(VLOOKUP(C218,Products!$A$4:$B$103,2,FALSE),"")</f>
        <v/>
      </c>
      <c r="E218" s="3"/>
    </row>
    <row r="219" spans="4:5">
      <c r="D219" t="str">
        <f>IFERROR(VLOOKUP(C219,Products!$A$4:$B$103,2,FALSE),"")</f>
        <v/>
      </c>
      <c r="E219" s="3"/>
    </row>
    <row r="220" spans="4:5">
      <c r="D220" t="str">
        <f>IFERROR(VLOOKUP(C220,Products!$A$4:$B$103,2,FALSE),"")</f>
        <v/>
      </c>
      <c r="E220" s="3"/>
    </row>
    <row r="221" spans="4:5">
      <c r="D221" t="str">
        <f>IFERROR(VLOOKUP(C221,Products!$A$4:$B$103,2,FALSE),"")</f>
        <v/>
      </c>
      <c r="E221" s="3"/>
    </row>
    <row r="222" spans="4:5">
      <c r="D222" t="str">
        <f>IFERROR(VLOOKUP(C222,Products!$A$4:$B$103,2,FALSE),"")</f>
        <v/>
      </c>
      <c r="E222" s="3"/>
    </row>
    <row r="223" spans="4:5">
      <c r="D223" t="str">
        <f>IFERROR(VLOOKUP(C223,Products!$A$4:$B$103,2,FALSE),"")</f>
        <v/>
      </c>
      <c r="E223" s="3"/>
    </row>
    <row r="224" spans="4:5">
      <c r="D224" t="str">
        <f>IFERROR(VLOOKUP(C224,Products!$A$4:$B$103,2,FALSE),"")</f>
        <v/>
      </c>
      <c r="E224" s="3"/>
    </row>
    <row r="225" spans="4:5">
      <c r="D225" t="str">
        <f>IFERROR(VLOOKUP(C225,Products!$A$4:$B$103,2,FALSE),"")</f>
        <v/>
      </c>
      <c r="E225" s="3"/>
    </row>
    <row r="226" spans="4:5">
      <c r="D226" t="str">
        <f>IFERROR(VLOOKUP(C226,Products!$A$4:$B$103,2,FALSE),"")</f>
        <v/>
      </c>
      <c r="E226" s="3"/>
    </row>
    <row r="227" spans="4:5">
      <c r="D227" t="str">
        <f>IFERROR(VLOOKUP(C227,Products!$A$4:$B$103,2,FALSE),"")</f>
        <v/>
      </c>
      <c r="E227" s="3"/>
    </row>
    <row r="228" spans="4:5">
      <c r="D228" t="str">
        <f>IFERROR(VLOOKUP(C228,Products!$A$4:$B$103,2,FALSE),"")</f>
        <v/>
      </c>
      <c r="E228" s="3"/>
    </row>
    <row r="229" spans="4:5">
      <c r="D229" t="str">
        <f>IFERROR(VLOOKUP(C229,Products!$A$4:$B$103,2,FALSE),"")</f>
        <v/>
      </c>
      <c r="E229" s="3"/>
    </row>
    <row r="230" spans="4:5">
      <c r="D230" t="str">
        <f>IFERROR(VLOOKUP(C230,Products!$A$4:$B$103,2,FALSE),"")</f>
        <v/>
      </c>
      <c r="E230" s="3"/>
    </row>
    <row r="231" spans="4:5">
      <c r="D231" t="str">
        <f>IFERROR(VLOOKUP(C231,Products!$A$4:$B$103,2,FALSE),"")</f>
        <v/>
      </c>
      <c r="E231" s="3"/>
    </row>
    <row r="232" spans="4:5">
      <c r="D232" t="str">
        <f>IFERROR(VLOOKUP(C232,Products!$A$4:$B$103,2,FALSE),"")</f>
        <v/>
      </c>
      <c r="E232" s="3"/>
    </row>
    <row r="233" spans="4:5">
      <c r="D233" t="str">
        <f>IFERROR(VLOOKUP(C233,Products!$A$4:$B$103,2,FALSE),"")</f>
        <v/>
      </c>
      <c r="E233" s="3"/>
    </row>
    <row r="234" spans="4:5">
      <c r="D234" t="str">
        <f>IFERROR(VLOOKUP(C234,Products!$A$4:$B$103,2,FALSE),"")</f>
        <v/>
      </c>
      <c r="E234" s="3"/>
    </row>
    <row r="235" spans="4:5">
      <c r="D235" t="str">
        <f>IFERROR(VLOOKUP(C235,Products!$A$4:$B$103,2,FALSE),"")</f>
        <v/>
      </c>
      <c r="E235" s="3"/>
    </row>
    <row r="236" spans="4:5">
      <c r="D236" t="str">
        <f>IFERROR(VLOOKUP(C236,Products!$A$4:$B$103,2,FALSE),"")</f>
        <v/>
      </c>
      <c r="E236" s="3"/>
    </row>
    <row r="237" spans="4:5">
      <c r="D237" t="str">
        <f>IFERROR(VLOOKUP(C237,Products!$A$4:$B$103,2,FALSE),"")</f>
        <v/>
      </c>
      <c r="E237" s="3"/>
    </row>
    <row r="238" spans="4:5">
      <c r="D238" t="str">
        <f>IFERROR(VLOOKUP(C238,Products!$A$4:$B$103,2,FALSE),"")</f>
        <v/>
      </c>
      <c r="E238" s="3"/>
    </row>
    <row r="239" spans="4:5">
      <c r="D239" t="str">
        <f>IFERROR(VLOOKUP(C239,Products!$A$4:$B$103,2,FALSE),"")</f>
        <v/>
      </c>
      <c r="E239" s="3"/>
    </row>
    <row r="240" spans="4:5">
      <c r="D240" t="str">
        <f>IFERROR(VLOOKUP(C240,Products!$A$4:$B$103,2,FALSE),"")</f>
        <v/>
      </c>
      <c r="E240" s="3"/>
    </row>
    <row r="241" spans="4:5">
      <c r="D241" t="str">
        <f>IFERROR(VLOOKUP(C241,Products!$A$4:$B$103,2,FALSE),"")</f>
        <v/>
      </c>
      <c r="E241" s="3"/>
    </row>
    <row r="242" spans="4:5">
      <c r="D242" t="str">
        <f>IFERROR(VLOOKUP(C242,Products!$A$4:$B$103,2,FALSE),"")</f>
        <v/>
      </c>
      <c r="E242" s="3"/>
    </row>
    <row r="243" spans="4:5">
      <c r="D243" t="str">
        <f>IFERROR(VLOOKUP(C243,Products!$A$4:$B$103,2,FALSE),"")</f>
        <v/>
      </c>
      <c r="E243" s="3"/>
    </row>
    <row r="244" spans="4:5">
      <c r="D244" t="str">
        <f>IFERROR(VLOOKUP(C244,Products!$A$4:$B$103,2,FALSE),"")</f>
        <v/>
      </c>
      <c r="E244" s="3"/>
    </row>
    <row r="245" spans="4:5">
      <c r="D245" t="str">
        <f>IFERROR(VLOOKUP(C245,Products!$A$4:$B$103,2,FALSE),"")</f>
        <v/>
      </c>
      <c r="E245" s="3"/>
    </row>
    <row r="246" spans="4:5">
      <c r="D246" t="str">
        <f>IFERROR(VLOOKUP(C246,Products!$A$4:$B$103,2,FALSE),"")</f>
        <v/>
      </c>
      <c r="E246" s="3"/>
    </row>
    <row r="247" spans="4:5">
      <c r="D247" t="str">
        <f>IFERROR(VLOOKUP(C247,Products!$A$4:$B$103,2,FALSE),"")</f>
        <v/>
      </c>
      <c r="E247" s="3"/>
    </row>
    <row r="248" spans="4:5">
      <c r="D248" t="str">
        <f>IFERROR(VLOOKUP(C248,Products!$A$4:$B$103,2,FALSE),"")</f>
        <v/>
      </c>
      <c r="E248" s="3"/>
    </row>
    <row r="249" spans="4:5">
      <c r="D249" t="str">
        <f>IFERROR(VLOOKUP(C249,Products!$A$4:$B$103,2,FALSE),"")</f>
        <v/>
      </c>
      <c r="E249" s="3"/>
    </row>
    <row r="250" spans="4:5">
      <c r="D250" t="str">
        <f>IFERROR(VLOOKUP(C250,Products!$A$4:$B$103,2,FALSE),"")</f>
        <v/>
      </c>
      <c r="E250" s="3"/>
    </row>
    <row r="251" spans="4:5">
      <c r="D251" t="str">
        <f>IFERROR(VLOOKUP(C251,Products!$A$4:$B$103,2,FALSE),"")</f>
        <v/>
      </c>
      <c r="E251" s="3"/>
    </row>
    <row r="252" spans="4:5">
      <c r="D252" t="str">
        <f>IFERROR(VLOOKUP(C252,Products!$A$4:$B$103,2,FALSE),"")</f>
        <v/>
      </c>
      <c r="E252" s="3"/>
    </row>
    <row r="253" spans="4:5">
      <c r="D253" t="str">
        <f>IFERROR(VLOOKUP(C253,Products!$A$4:$B$103,2,FALSE),"")</f>
        <v/>
      </c>
      <c r="E253" s="3"/>
    </row>
    <row r="254" spans="4:5">
      <c r="D254" t="str">
        <f>IFERROR(VLOOKUP(C254,Products!$A$4:$B$103,2,FALSE),"")</f>
        <v/>
      </c>
      <c r="E254" s="3"/>
    </row>
    <row r="255" spans="4:5">
      <c r="D255" t="str">
        <f>IFERROR(VLOOKUP(C255,Products!$A$4:$B$103,2,FALSE),"")</f>
        <v/>
      </c>
      <c r="E255" s="3"/>
    </row>
    <row r="256" spans="4:5">
      <c r="D256" t="str">
        <f>IFERROR(VLOOKUP(C256,Products!$A$4:$B$103,2,FALSE),"")</f>
        <v/>
      </c>
      <c r="E256" s="3"/>
    </row>
    <row r="257" spans="4:5">
      <c r="D257" t="str">
        <f>IFERROR(VLOOKUP(C257,Products!$A$4:$B$103,2,FALSE),"")</f>
        <v/>
      </c>
      <c r="E257" s="3"/>
    </row>
    <row r="258" spans="4:5">
      <c r="D258" t="str">
        <f>IFERROR(VLOOKUP(C258,Products!$A$4:$B$103,2,FALSE),"")</f>
        <v/>
      </c>
      <c r="E258" s="3"/>
    </row>
    <row r="259" spans="4:5">
      <c r="D259" t="str">
        <f>IFERROR(VLOOKUP(C259,Products!$A$4:$B$103,2,FALSE),"")</f>
        <v/>
      </c>
      <c r="E259" s="3"/>
    </row>
    <row r="260" spans="4:5">
      <c r="D260" t="str">
        <f>IFERROR(VLOOKUP(C260,Products!$A$4:$B$103,2,FALSE),"")</f>
        <v/>
      </c>
      <c r="E260" s="3"/>
    </row>
    <row r="261" spans="4:5">
      <c r="D261" t="str">
        <f>IFERROR(VLOOKUP(C261,Products!$A$4:$B$103,2,FALSE),"")</f>
        <v/>
      </c>
      <c r="E261" s="3"/>
    </row>
    <row r="262" spans="4:5">
      <c r="D262" t="str">
        <f>IFERROR(VLOOKUP(C262,Products!$A$4:$B$103,2,FALSE),"")</f>
        <v/>
      </c>
      <c r="E262" s="3"/>
    </row>
    <row r="263" spans="4:5">
      <c r="D263" t="str">
        <f>IFERROR(VLOOKUP(C263,Products!$A$4:$B$103,2,FALSE),"")</f>
        <v/>
      </c>
      <c r="E263" s="3"/>
    </row>
    <row r="264" spans="4:5">
      <c r="D264" t="str">
        <f>IFERROR(VLOOKUP(C264,Products!$A$4:$B$103,2,FALSE),"")</f>
        <v/>
      </c>
      <c r="E264" s="3"/>
    </row>
    <row r="265" spans="4:5">
      <c r="D265" t="str">
        <f>IFERROR(VLOOKUP(C265,Products!$A$4:$B$103,2,FALSE),"")</f>
        <v/>
      </c>
      <c r="E265" s="3"/>
    </row>
    <row r="266" spans="4:5">
      <c r="D266" t="str">
        <f>IFERROR(VLOOKUP(C266,Products!$A$4:$B$103,2,FALSE),"")</f>
        <v/>
      </c>
      <c r="E266" s="3"/>
    </row>
    <row r="267" spans="4:5">
      <c r="D267" t="str">
        <f>IFERROR(VLOOKUP(C267,Products!$A$4:$B$103,2,FALSE),"")</f>
        <v/>
      </c>
      <c r="E267" s="3"/>
    </row>
    <row r="268" spans="4:5">
      <c r="D268" t="str">
        <f>IFERROR(VLOOKUP(C268,Products!$A$4:$B$103,2,FALSE),"")</f>
        <v/>
      </c>
      <c r="E268" s="3"/>
    </row>
    <row r="269" spans="4:5">
      <c r="D269" t="str">
        <f>IFERROR(VLOOKUP(C269,Products!$A$4:$B$103,2,FALSE),"")</f>
        <v/>
      </c>
      <c r="E269" s="3"/>
    </row>
    <row r="270" spans="4:5">
      <c r="D270" t="str">
        <f>IFERROR(VLOOKUP(C270,Products!$A$4:$B$103,2,FALSE),"")</f>
        <v/>
      </c>
      <c r="E270" s="3"/>
    </row>
    <row r="271" spans="4:5">
      <c r="D271" t="str">
        <f>IFERROR(VLOOKUP(C271,Products!$A$4:$B$103,2,FALSE),"")</f>
        <v/>
      </c>
      <c r="E271" s="3"/>
    </row>
    <row r="272" spans="4:5">
      <c r="D272" t="str">
        <f>IFERROR(VLOOKUP(C272,Products!$A$4:$B$103,2,FALSE),"")</f>
        <v/>
      </c>
      <c r="E272" s="3"/>
    </row>
    <row r="273" spans="4:5">
      <c r="D273" t="str">
        <f>IFERROR(VLOOKUP(C273,Products!$A$4:$B$103,2,FALSE),"")</f>
        <v/>
      </c>
      <c r="E273" s="3"/>
    </row>
    <row r="274" spans="4:5">
      <c r="D274" t="str">
        <f>IFERROR(VLOOKUP(C274,Products!$A$4:$B$103,2,FALSE),"")</f>
        <v/>
      </c>
      <c r="E274" s="3"/>
    </row>
    <row r="275" spans="4:5">
      <c r="D275" t="str">
        <f>IFERROR(VLOOKUP(C275,Products!$A$4:$B$103,2,FALSE),"")</f>
        <v/>
      </c>
      <c r="E275" s="3"/>
    </row>
    <row r="276" spans="4:5">
      <c r="D276" t="str">
        <f>IFERROR(VLOOKUP(C276,Products!$A$4:$B$103,2,FALSE),"")</f>
        <v/>
      </c>
      <c r="E276" s="3"/>
    </row>
    <row r="277" spans="4:5">
      <c r="D277" t="str">
        <f>IFERROR(VLOOKUP(C277,Products!$A$4:$B$103,2,FALSE),"")</f>
        <v/>
      </c>
      <c r="E277" s="3"/>
    </row>
    <row r="278" spans="4:5">
      <c r="D278" t="str">
        <f>IFERROR(VLOOKUP(C278,Products!$A$4:$B$103,2,FALSE),"")</f>
        <v/>
      </c>
      <c r="E278" s="3"/>
    </row>
    <row r="279" spans="4:5">
      <c r="D279" t="str">
        <f>IFERROR(VLOOKUP(C279,Products!$A$4:$B$103,2,FALSE),"")</f>
        <v/>
      </c>
      <c r="E279" s="3"/>
    </row>
    <row r="280" spans="4:5">
      <c r="D280" t="str">
        <f>IFERROR(VLOOKUP(C280,Products!$A$4:$B$103,2,FALSE),"")</f>
        <v/>
      </c>
      <c r="E280" s="3"/>
    </row>
    <row r="281" spans="4:5">
      <c r="D281" t="str">
        <f>IFERROR(VLOOKUP(C281,Products!$A$4:$B$103,2,FALSE),"")</f>
        <v/>
      </c>
      <c r="E281" s="3"/>
    </row>
    <row r="282" spans="4:5">
      <c r="D282" t="str">
        <f>IFERROR(VLOOKUP(C282,Products!$A$4:$B$103,2,FALSE),"")</f>
        <v/>
      </c>
      <c r="E282" s="3"/>
    </row>
    <row r="283" spans="4:5">
      <c r="D283" t="str">
        <f>IFERROR(VLOOKUP(C283,Products!$A$4:$B$103,2,FALSE),"")</f>
        <v/>
      </c>
      <c r="E283" s="3"/>
    </row>
    <row r="284" spans="4:5">
      <c r="D284" t="str">
        <f>IFERROR(VLOOKUP(C284,Products!$A$4:$B$103,2,FALSE),"")</f>
        <v/>
      </c>
      <c r="E284" s="3"/>
    </row>
    <row r="285" spans="4:5">
      <c r="D285" t="str">
        <f>IFERROR(VLOOKUP(C285,Products!$A$4:$B$103,2,FALSE),"")</f>
        <v/>
      </c>
      <c r="E285" s="3"/>
    </row>
    <row r="286" spans="4:5">
      <c r="D286" t="str">
        <f>IFERROR(VLOOKUP(C286,Products!$A$4:$B$103,2,FALSE),"")</f>
        <v/>
      </c>
      <c r="E286" s="3"/>
    </row>
    <row r="287" spans="4:5">
      <c r="D287" t="str">
        <f>IFERROR(VLOOKUP(C287,Products!$A$4:$B$103,2,FALSE),"")</f>
        <v/>
      </c>
      <c r="E287" s="3"/>
    </row>
    <row r="288" spans="4:5">
      <c r="D288" t="str">
        <f>IFERROR(VLOOKUP(C288,Products!$A$4:$B$103,2,FALSE),"")</f>
        <v/>
      </c>
      <c r="E288" s="3"/>
    </row>
    <row r="289" spans="4:5">
      <c r="D289" t="str">
        <f>IFERROR(VLOOKUP(C289,Products!$A$4:$B$103,2,FALSE),"")</f>
        <v/>
      </c>
      <c r="E289" s="3"/>
    </row>
    <row r="290" spans="4:5">
      <c r="D290" t="str">
        <f>IFERROR(VLOOKUP(C290,Products!$A$4:$B$103,2,FALSE),"")</f>
        <v/>
      </c>
      <c r="E290" s="3"/>
    </row>
    <row r="291" spans="4:5">
      <c r="D291" t="str">
        <f>IFERROR(VLOOKUP(C291,Products!$A$4:$B$103,2,FALSE),"")</f>
        <v/>
      </c>
      <c r="E291" s="3"/>
    </row>
    <row r="292" spans="4:5">
      <c r="D292" t="str">
        <f>IFERROR(VLOOKUP(C292,Products!$A$4:$B$103,2,FALSE),"")</f>
        <v/>
      </c>
      <c r="E292" s="3"/>
    </row>
    <row r="293" spans="4:5">
      <c r="D293" t="str">
        <f>IFERROR(VLOOKUP(C293,Products!$A$4:$B$103,2,FALSE),"")</f>
        <v/>
      </c>
      <c r="E293" s="3"/>
    </row>
    <row r="294" spans="4:5">
      <c r="D294" t="str">
        <f>IFERROR(VLOOKUP(C294,Products!$A$4:$B$103,2,FALSE),"")</f>
        <v/>
      </c>
      <c r="E294" s="3"/>
    </row>
    <row r="295" spans="4:5">
      <c r="D295" t="str">
        <f>IFERROR(VLOOKUP(C295,Products!$A$4:$B$103,2,FALSE),"")</f>
        <v/>
      </c>
      <c r="E295" s="3"/>
    </row>
    <row r="296" spans="4:5">
      <c r="D296" t="str">
        <f>IFERROR(VLOOKUP(C296,Products!$A$4:$B$103,2,FALSE),"")</f>
        <v/>
      </c>
      <c r="E296" s="3"/>
    </row>
    <row r="297" spans="4:5">
      <c r="D297" t="str">
        <f>IFERROR(VLOOKUP(C297,Products!$A$4:$B$103,2,FALSE),"")</f>
        <v/>
      </c>
      <c r="E297" s="3"/>
    </row>
    <row r="298" spans="4:5">
      <c r="D298" t="str">
        <f>IFERROR(VLOOKUP(C298,Products!$A$4:$B$103,2,FALSE),"")</f>
        <v/>
      </c>
      <c r="E298" s="3"/>
    </row>
    <row r="299" spans="4:5">
      <c r="D299" t="str">
        <f>IFERROR(VLOOKUP(C299,Products!$A$4:$B$103,2,FALSE),"")</f>
        <v/>
      </c>
      <c r="E299" s="3"/>
    </row>
    <row r="300" spans="4:5">
      <c r="D300" t="str">
        <f>IFERROR(VLOOKUP(C300,Products!$A$4:$B$103,2,FALSE),"")</f>
        <v/>
      </c>
      <c r="E300" s="3"/>
    </row>
    <row r="301" spans="4:5">
      <c r="D301" t="str">
        <f>IFERROR(VLOOKUP(C301,Products!$A$4:$B$103,2,FALSE),"")</f>
        <v/>
      </c>
      <c r="E301" s="3"/>
    </row>
    <row r="302" spans="4:5">
      <c r="D302" t="str">
        <f>IFERROR(VLOOKUP(C302,Products!$A$4:$B$103,2,FALSE),"")</f>
        <v/>
      </c>
      <c r="E302" s="3"/>
    </row>
    <row r="303" spans="4:5">
      <c r="D303" t="str">
        <f>IFERROR(VLOOKUP(C303,Products!$A$4:$B$103,2,FALSE),"")</f>
        <v/>
      </c>
      <c r="E303" s="3"/>
    </row>
    <row r="304" spans="4:5">
      <c r="D304" t="str">
        <f>IFERROR(VLOOKUP(C304,Products!$A$4:$B$103,2,FALSE),"")</f>
        <v/>
      </c>
      <c r="E304" s="3"/>
    </row>
    <row r="305" spans="4:5">
      <c r="D305" t="str">
        <f>IFERROR(VLOOKUP(C305,Products!$A$4:$B$103,2,FALSE),"")</f>
        <v/>
      </c>
      <c r="E305" s="3"/>
    </row>
    <row r="306" spans="4:5">
      <c r="D306" t="str">
        <f>IFERROR(VLOOKUP(C306,Products!$A$4:$B$103,2,FALSE),"")</f>
        <v/>
      </c>
      <c r="E306" s="3"/>
    </row>
    <row r="307" spans="4:5">
      <c r="D307" t="str">
        <f>IFERROR(VLOOKUP(C307,Products!$A$4:$B$103,2,FALSE),"")</f>
        <v/>
      </c>
      <c r="E307" s="3"/>
    </row>
    <row r="308" spans="4:5">
      <c r="D308" t="str">
        <f>IFERROR(VLOOKUP(C308,Products!$A$4:$B$103,2,FALSE),"")</f>
        <v/>
      </c>
      <c r="E308" s="3"/>
    </row>
    <row r="309" spans="4:5">
      <c r="D309" t="str">
        <f>IFERROR(VLOOKUP(C309,Products!$A$4:$B$103,2,FALSE),"")</f>
        <v/>
      </c>
      <c r="E309" s="3"/>
    </row>
    <row r="310" spans="4:5">
      <c r="D310" t="str">
        <f>IFERROR(VLOOKUP(C310,Products!$A$4:$B$103,2,FALSE),"")</f>
        <v/>
      </c>
      <c r="E310" s="3"/>
    </row>
    <row r="311" spans="4:5">
      <c r="D311" t="str">
        <f>IFERROR(VLOOKUP(C311,Products!$A$4:$B$103,2,FALSE),"")</f>
        <v/>
      </c>
      <c r="E311" s="3"/>
    </row>
    <row r="312" spans="4:5">
      <c r="D312" t="str">
        <f>IFERROR(VLOOKUP(C312,Products!$A$4:$B$103,2,FALSE),"")</f>
        <v/>
      </c>
      <c r="E312" s="3"/>
    </row>
    <row r="313" spans="4:5">
      <c r="D313" t="str">
        <f>IFERROR(VLOOKUP(C313,Products!$A$4:$B$103,2,FALSE),"")</f>
        <v/>
      </c>
      <c r="E313" s="3"/>
    </row>
    <row r="314" spans="4:5">
      <c r="D314" t="str">
        <f>IFERROR(VLOOKUP(C314,Products!$A$4:$B$103,2,FALSE),"")</f>
        <v/>
      </c>
      <c r="E314" s="3"/>
    </row>
    <row r="315" spans="4:5">
      <c r="D315" t="str">
        <f>IFERROR(VLOOKUP(C315,Products!$A$4:$B$103,2,FALSE),"")</f>
        <v/>
      </c>
      <c r="E315" s="3"/>
    </row>
    <row r="316" spans="4:5">
      <c r="D316" t="str">
        <f>IFERROR(VLOOKUP(C316,Products!$A$4:$B$103,2,FALSE),"")</f>
        <v/>
      </c>
      <c r="E316" s="3"/>
    </row>
    <row r="317" spans="4:5">
      <c r="D317" t="str">
        <f>IFERROR(VLOOKUP(C317,Products!$A$4:$B$103,2,FALSE),"")</f>
        <v/>
      </c>
      <c r="E317" s="3"/>
    </row>
    <row r="318" spans="4:5">
      <c r="D318" t="str">
        <f>IFERROR(VLOOKUP(C318,Products!$A$4:$B$103,2,FALSE),"")</f>
        <v/>
      </c>
      <c r="E318" s="3"/>
    </row>
    <row r="319" spans="4:5">
      <c r="D319" t="str">
        <f>IFERROR(VLOOKUP(C319,Products!$A$4:$B$103,2,FALSE),"")</f>
        <v/>
      </c>
      <c r="E319" s="3"/>
    </row>
    <row r="320" spans="4:5">
      <c r="D320" t="str">
        <f>IFERROR(VLOOKUP(C320,Products!$A$4:$B$103,2,FALSE),"")</f>
        <v/>
      </c>
      <c r="E320" s="3"/>
    </row>
    <row r="321" spans="4:5">
      <c r="D321" t="str">
        <f>IFERROR(VLOOKUP(C321,Products!$A$4:$B$103,2,FALSE),"")</f>
        <v/>
      </c>
      <c r="E321" s="3"/>
    </row>
    <row r="322" spans="4:5">
      <c r="D322" t="str">
        <f>IFERROR(VLOOKUP(C322,Products!$A$4:$B$103,2,FALSE),"")</f>
        <v/>
      </c>
      <c r="E322" s="3"/>
    </row>
    <row r="323" spans="4:5">
      <c r="D323" t="str">
        <f>IFERROR(VLOOKUP(C323,Products!$A$4:$B$103,2,FALSE),"")</f>
        <v/>
      </c>
      <c r="E323" s="3"/>
    </row>
    <row r="324" spans="4:5">
      <c r="D324" t="str">
        <f>IFERROR(VLOOKUP(C324,Products!$A$4:$B$103,2,FALSE),"")</f>
        <v/>
      </c>
      <c r="E324" s="3"/>
    </row>
    <row r="325" spans="4:5">
      <c r="D325" t="str">
        <f>IFERROR(VLOOKUP(C325,Products!$A$4:$B$103,2,FALSE),"")</f>
        <v/>
      </c>
      <c r="E325" s="3"/>
    </row>
    <row r="326" spans="4:5">
      <c r="D326" t="str">
        <f>IFERROR(VLOOKUP(C326,Products!$A$4:$B$103,2,FALSE),"")</f>
        <v/>
      </c>
      <c r="E326" s="3"/>
    </row>
    <row r="327" spans="4:5">
      <c r="D327" t="str">
        <f>IFERROR(VLOOKUP(C327,Products!$A$4:$B$103,2,FALSE),"")</f>
        <v/>
      </c>
      <c r="E327" s="3"/>
    </row>
    <row r="328" spans="4:5">
      <c r="D328" t="str">
        <f>IFERROR(VLOOKUP(C328,Products!$A$4:$B$103,2,FALSE),"")</f>
        <v/>
      </c>
      <c r="E328" s="3"/>
    </row>
    <row r="329" spans="4:5">
      <c r="D329" t="str">
        <f>IFERROR(VLOOKUP(C329,Products!$A$4:$B$103,2,FALSE),"")</f>
        <v/>
      </c>
      <c r="E329" s="3"/>
    </row>
    <row r="330" spans="4:5">
      <c r="D330" t="str">
        <f>IFERROR(VLOOKUP(C330,Products!$A$4:$B$103,2,FALSE),"")</f>
        <v/>
      </c>
      <c r="E330" s="3"/>
    </row>
    <row r="331" spans="4:5">
      <c r="D331" t="str">
        <f>IFERROR(VLOOKUP(C331,Products!$A$4:$B$103,2,FALSE),"")</f>
        <v/>
      </c>
      <c r="E331" s="3"/>
    </row>
    <row r="332" spans="4:5">
      <c r="D332" t="str">
        <f>IFERROR(VLOOKUP(C332,Products!$A$4:$B$103,2,FALSE),"")</f>
        <v/>
      </c>
      <c r="E332" s="3"/>
    </row>
    <row r="333" spans="4:5">
      <c r="D333" t="str">
        <f>IFERROR(VLOOKUP(C333,Products!$A$4:$B$103,2,FALSE),"")</f>
        <v/>
      </c>
      <c r="E333" s="3"/>
    </row>
    <row r="334" spans="4:5">
      <c r="D334" t="str">
        <f>IFERROR(VLOOKUP(C334,Products!$A$4:$B$103,2,FALSE),"")</f>
        <v/>
      </c>
      <c r="E334" s="3"/>
    </row>
    <row r="335" spans="4:5">
      <c r="D335" t="str">
        <f>IFERROR(VLOOKUP(C335,Products!$A$4:$B$103,2,FALSE),"")</f>
        <v/>
      </c>
      <c r="E335" s="3"/>
    </row>
    <row r="336" spans="4:5">
      <c r="D336" t="str">
        <f>IFERROR(VLOOKUP(C336,Products!$A$4:$B$103,2,FALSE),"")</f>
        <v/>
      </c>
      <c r="E336" s="3"/>
    </row>
    <row r="337" spans="4:5">
      <c r="D337" t="str">
        <f>IFERROR(VLOOKUP(C337,Products!$A$4:$B$103,2,FALSE),"")</f>
        <v/>
      </c>
      <c r="E337" s="3"/>
    </row>
    <row r="338" spans="4:5">
      <c r="D338" t="str">
        <f>IFERROR(VLOOKUP(C338,Products!$A$4:$B$103,2,FALSE),"")</f>
        <v/>
      </c>
      <c r="E338" s="3"/>
    </row>
    <row r="339" spans="4:5">
      <c r="D339" t="str">
        <f>IFERROR(VLOOKUP(C339,Products!$A$4:$B$103,2,FALSE),"")</f>
        <v/>
      </c>
      <c r="E339" s="3"/>
    </row>
    <row r="340" spans="4:5">
      <c r="D340" t="str">
        <f>IFERROR(VLOOKUP(C340,Products!$A$4:$B$103,2,FALSE),"")</f>
        <v/>
      </c>
      <c r="E340" s="3"/>
    </row>
    <row r="341" spans="4:5">
      <c r="D341" t="str">
        <f>IFERROR(VLOOKUP(C341,Products!$A$4:$B$103,2,FALSE),"")</f>
        <v/>
      </c>
      <c r="E341" s="3"/>
    </row>
    <row r="342" spans="4:5">
      <c r="D342" t="str">
        <f>IFERROR(VLOOKUP(C342,Products!$A$4:$B$103,2,FALSE),"")</f>
        <v/>
      </c>
      <c r="E342" s="3"/>
    </row>
    <row r="343" spans="4:5">
      <c r="D343" t="str">
        <f>IFERROR(VLOOKUP(C343,Products!$A$4:$B$103,2,FALSE),"")</f>
        <v/>
      </c>
      <c r="E343" s="3"/>
    </row>
    <row r="344" spans="4:5">
      <c r="D344" t="str">
        <f>IFERROR(VLOOKUP(C344,Products!$A$4:$B$103,2,FALSE),"")</f>
        <v/>
      </c>
      <c r="E344" s="3"/>
    </row>
    <row r="345" spans="4:5">
      <c r="D345" t="str">
        <f>IFERROR(VLOOKUP(C345,Products!$A$4:$B$103,2,FALSE),"")</f>
        <v/>
      </c>
      <c r="E345" s="3"/>
    </row>
    <row r="346" spans="4:5">
      <c r="D346" t="str">
        <f>IFERROR(VLOOKUP(C346,Products!$A$4:$B$103,2,FALSE),"")</f>
        <v/>
      </c>
      <c r="E346" s="3"/>
    </row>
    <row r="347" spans="4:5">
      <c r="D347" t="str">
        <f>IFERROR(VLOOKUP(C347,Products!$A$4:$B$103,2,FALSE),"")</f>
        <v/>
      </c>
      <c r="E347" s="3"/>
    </row>
    <row r="348" spans="4:5">
      <c r="D348" t="str">
        <f>IFERROR(VLOOKUP(C348,Products!$A$4:$B$103,2,FALSE),"")</f>
        <v/>
      </c>
      <c r="E348" s="3"/>
    </row>
    <row r="349" spans="4:5">
      <c r="D349" t="str">
        <f>IFERROR(VLOOKUP(C349,Products!$A$4:$B$103,2,FALSE),"")</f>
        <v/>
      </c>
      <c r="E349" s="3"/>
    </row>
    <row r="350" spans="4:5">
      <c r="D350" t="str">
        <f>IFERROR(VLOOKUP(C350,Products!$A$4:$B$103,2,FALSE),"")</f>
        <v/>
      </c>
      <c r="E350" s="3"/>
    </row>
    <row r="351" spans="4:5">
      <c r="D351" t="str">
        <f>IFERROR(VLOOKUP(C351,Products!$A$4:$B$103,2,FALSE),"")</f>
        <v/>
      </c>
      <c r="E351" s="3"/>
    </row>
    <row r="352" spans="4:5">
      <c r="D352" t="str">
        <f>IFERROR(VLOOKUP(C352,Products!$A$4:$B$103,2,FALSE),"")</f>
        <v/>
      </c>
      <c r="E352" s="3"/>
    </row>
    <row r="353" spans="4:5">
      <c r="D353" t="str">
        <f>IFERROR(VLOOKUP(C353,Products!$A$4:$B$103,2,FALSE),"")</f>
        <v/>
      </c>
      <c r="E353" s="3"/>
    </row>
    <row r="354" spans="4:5">
      <c r="D354" t="str">
        <f>IFERROR(VLOOKUP(C354,Products!$A$4:$B$103,2,FALSE),"")</f>
        <v/>
      </c>
      <c r="E354" s="3"/>
    </row>
    <row r="355" spans="4:5">
      <c r="D355" t="str">
        <f>IFERROR(VLOOKUP(C355,Products!$A$4:$B$103,2,FALSE),"")</f>
        <v/>
      </c>
      <c r="E355" s="3"/>
    </row>
    <row r="356" spans="4:5">
      <c r="D356" t="str">
        <f>IFERROR(VLOOKUP(C356,Products!$A$4:$B$103,2,FALSE),"")</f>
        <v/>
      </c>
      <c r="E356" s="3"/>
    </row>
    <row r="357" spans="4:5">
      <c r="D357" t="str">
        <f>IFERROR(VLOOKUP(C357,Products!$A$4:$B$103,2,FALSE),"")</f>
        <v/>
      </c>
      <c r="E357" s="3"/>
    </row>
    <row r="358" spans="4:5">
      <c r="D358" t="str">
        <f>IFERROR(VLOOKUP(C358,Products!$A$4:$B$103,2,FALSE),"")</f>
        <v/>
      </c>
      <c r="E358" s="3"/>
    </row>
    <row r="359" spans="4:5">
      <c r="D359" t="str">
        <f>IFERROR(VLOOKUP(C359,Products!$A$4:$B$103,2,FALSE),"")</f>
        <v/>
      </c>
      <c r="E359" s="3"/>
    </row>
    <row r="360" spans="4:5">
      <c r="D360" t="str">
        <f>IFERROR(VLOOKUP(C360,Products!$A$4:$B$103,2,FALSE),"")</f>
        <v/>
      </c>
      <c r="E360" s="3"/>
    </row>
    <row r="361" spans="4:5">
      <c r="D361" t="str">
        <f>IFERROR(VLOOKUP(C361,Products!$A$4:$B$103,2,FALSE),"")</f>
        <v/>
      </c>
      <c r="E361" s="3"/>
    </row>
    <row r="362" spans="4:5">
      <c r="D362" t="str">
        <f>IFERROR(VLOOKUP(C362,Products!$A$4:$B$103,2,FALSE),"")</f>
        <v/>
      </c>
      <c r="E362" s="3"/>
    </row>
    <row r="363" spans="4:5">
      <c r="D363" t="str">
        <f>IFERROR(VLOOKUP(C363,Products!$A$4:$B$103,2,FALSE),"")</f>
        <v/>
      </c>
      <c r="E363" s="3"/>
    </row>
    <row r="364" spans="4:5">
      <c r="D364" t="str">
        <f>IFERROR(VLOOKUP(C364,Products!$A$4:$B$103,2,FALSE),"")</f>
        <v/>
      </c>
      <c r="E364" s="3"/>
    </row>
    <row r="365" spans="4:5">
      <c r="D365" t="str">
        <f>IFERROR(VLOOKUP(C365,Products!$A$4:$B$103,2,FALSE),"")</f>
        <v/>
      </c>
      <c r="E365" s="3"/>
    </row>
    <row r="366" spans="4:5">
      <c r="D366" t="str">
        <f>IFERROR(VLOOKUP(C366,Products!$A$4:$B$103,2,FALSE),"")</f>
        <v/>
      </c>
      <c r="E366" s="3"/>
    </row>
    <row r="367" spans="4:5">
      <c r="D367" t="str">
        <f>IFERROR(VLOOKUP(C367,Products!$A$4:$B$103,2,FALSE),"")</f>
        <v/>
      </c>
      <c r="E367" s="3"/>
    </row>
    <row r="368" spans="4:5">
      <c r="D368" t="str">
        <f>IFERROR(VLOOKUP(C368,Products!$A$4:$B$103,2,FALSE),"")</f>
        <v/>
      </c>
      <c r="E368" s="3"/>
    </row>
    <row r="369" spans="4:5">
      <c r="D369" t="str">
        <f>IFERROR(VLOOKUP(C369,Products!$A$4:$B$103,2,FALSE),"")</f>
        <v/>
      </c>
      <c r="E369" s="3"/>
    </row>
    <row r="370" spans="4:5">
      <c r="D370" t="str">
        <f>IFERROR(VLOOKUP(C370,Products!$A$4:$B$103,2,FALSE),"")</f>
        <v/>
      </c>
      <c r="E370" s="3"/>
    </row>
    <row r="371" spans="4:5">
      <c r="D371" t="str">
        <f>IFERROR(VLOOKUP(C371,Products!$A$4:$B$103,2,FALSE),"")</f>
        <v/>
      </c>
      <c r="E371" s="3"/>
    </row>
    <row r="372" spans="4:5">
      <c r="D372" t="str">
        <f>IFERROR(VLOOKUP(C372,Products!$A$4:$B$103,2,FALSE),"")</f>
        <v/>
      </c>
      <c r="E372" s="3"/>
    </row>
    <row r="373" spans="4:5">
      <c r="D373" t="str">
        <f>IFERROR(VLOOKUP(C373,Products!$A$4:$B$103,2,FALSE),"")</f>
        <v/>
      </c>
      <c r="E373" s="3"/>
    </row>
    <row r="374" spans="4:5">
      <c r="D374" t="str">
        <f>IFERROR(VLOOKUP(C374,Products!$A$4:$B$103,2,FALSE),"")</f>
        <v/>
      </c>
      <c r="E374" s="3"/>
    </row>
    <row r="375" spans="4:5">
      <c r="D375" t="str">
        <f>IFERROR(VLOOKUP(C375,Products!$A$4:$B$103,2,FALSE),"")</f>
        <v/>
      </c>
      <c r="E375" s="3"/>
    </row>
    <row r="376" spans="4:5">
      <c r="D376" t="str">
        <f>IFERROR(VLOOKUP(C376,Products!$A$4:$B$103,2,FALSE),"")</f>
        <v/>
      </c>
      <c r="E376" s="3"/>
    </row>
    <row r="377" spans="4:5">
      <c r="D377" t="str">
        <f>IFERROR(VLOOKUP(C377,Products!$A$4:$B$103,2,FALSE),"")</f>
        <v/>
      </c>
      <c r="E377" s="3"/>
    </row>
    <row r="378" spans="4:5">
      <c r="D378" t="str">
        <f>IFERROR(VLOOKUP(C378,Products!$A$4:$B$103,2,FALSE),"")</f>
        <v/>
      </c>
      <c r="E378" s="3"/>
    </row>
    <row r="379" spans="4:5">
      <c r="D379" t="str">
        <f>IFERROR(VLOOKUP(C379,Products!$A$4:$B$103,2,FALSE),"")</f>
        <v/>
      </c>
      <c r="E379" s="3"/>
    </row>
    <row r="380" spans="4:5">
      <c r="D380" t="str">
        <f>IFERROR(VLOOKUP(C380,Products!$A$4:$B$103,2,FALSE),"")</f>
        <v/>
      </c>
      <c r="E380" s="3"/>
    </row>
    <row r="381" spans="4:5">
      <c r="D381" t="str">
        <f>IFERROR(VLOOKUP(C381,Products!$A$4:$B$103,2,FALSE),"")</f>
        <v/>
      </c>
      <c r="E381" s="3"/>
    </row>
    <row r="382" spans="4:5">
      <c r="D382" t="str">
        <f>IFERROR(VLOOKUP(C382,Products!$A$4:$B$103,2,FALSE),"")</f>
        <v/>
      </c>
      <c r="E382" s="3"/>
    </row>
    <row r="383" spans="4:5">
      <c r="D383" t="str">
        <f>IFERROR(VLOOKUP(C383,Products!$A$4:$B$103,2,FALSE),"")</f>
        <v/>
      </c>
      <c r="E383" s="3"/>
    </row>
    <row r="384" spans="4:5">
      <c r="D384" t="str">
        <f>IFERROR(VLOOKUP(C384,Products!$A$4:$B$103,2,FALSE),"")</f>
        <v/>
      </c>
      <c r="E384" s="3"/>
    </row>
    <row r="385" spans="4:5">
      <c r="D385" t="str">
        <f>IFERROR(VLOOKUP(C385,Products!$A$4:$B$103,2,FALSE),"")</f>
        <v/>
      </c>
      <c r="E385" s="3"/>
    </row>
    <row r="386" spans="4:5">
      <c r="D386" t="str">
        <f>IFERROR(VLOOKUP(C386,Products!$A$4:$B$103,2,FALSE),"")</f>
        <v/>
      </c>
      <c r="E386" s="3"/>
    </row>
    <row r="387" spans="4:5">
      <c r="D387" t="str">
        <f>IFERROR(VLOOKUP(C387,Products!$A$4:$B$103,2,FALSE),"")</f>
        <v/>
      </c>
      <c r="E387" s="3"/>
    </row>
    <row r="388" spans="4:5">
      <c r="D388" t="str">
        <f>IFERROR(VLOOKUP(C388,Products!$A$4:$B$103,2,FALSE),"")</f>
        <v/>
      </c>
      <c r="E388" s="3"/>
    </row>
    <row r="389" spans="4:5">
      <c r="D389" t="str">
        <f>IFERROR(VLOOKUP(C389,Products!$A$4:$B$103,2,FALSE),"")</f>
        <v/>
      </c>
      <c r="E389" s="3"/>
    </row>
    <row r="390" spans="4:5">
      <c r="D390" t="str">
        <f>IFERROR(VLOOKUP(C390,Products!$A$4:$B$103,2,FALSE),"")</f>
        <v/>
      </c>
      <c r="E390" s="3"/>
    </row>
    <row r="391" spans="4:5">
      <c r="D391" t="str">
        <f>IFERROR(VLOOKUP(C391,Products!$A$4:$B$103,2,FALSE),"")</f>
        <v/>
      </c>
      <c r="E391" s="3"/>
    </row>
    <row r="392" spans="4:5">
      <c r="D392" t="str">
        <f>IFERROR(VLOOKUP(C392,Products!$A$4:$B$103,2,FALSE),"")</f>
        <v/>
      </c>
      <c r="E392" s="3"/>
    </row>
    <row r="393" spans="4:5">
      <c r="D393" t="str">
        <f>IFERROR(VLOOKUP(C393,Products!$A$4:$B$103,2,FALSE),"")</f>
        <v/>
      </c>
      <c r="E393" s="3"/>
    </row>
    <row r="394" spans="4:5">
      <c r="D394" t="str">
        <f>IFERROR(VLOOKUP(C394,Products!$A$4:$B$103,2,FALSE),"")</f>
        <v/>
      </c>
      <c r="E394" s="3"/>
    </row>
    <row r="395" spans="4:5">
      <c r="D395" t="str">
        <f>IFERROR(VLOOKUP(C395,Products!$A$4:$B$103,2,FALSE),"")</f>
        <v/>
      </c>
      <c r="E395" s="3"/>
    </row>
    <row r="396" spans="4:5">
      <c r="D396" t="str">
        <f>IFERROR(VLOOKUP(C396,Products!$A$4:$B$103,2,FALSE),"")</f>
        <v/>
      </c>
      <c r="E396" s="3"/>
    </row>
    <row r="397" spans="4:5">
      <c r="D397" t="str">
        <f>IFERROR(VLOOKUP(C397,Products!$A$4:$B$103,2,FALSE),"")</f>
        <v/>
      </c>
      <c r="E397" s="3"/>
    </row>
    <row r="398" spans="4:5">
      <c r="D398" t="str">
        <f>IFERROR(VLOOKUP(C398,Products!$A$4:$B$103,2,FALSE),"")</f>
        <v/>
      </c>
      <c r="E398" s="3"/>
    </row>
    <row r="399" spans="4:5">
      <c r="D399" t="str">
        <f>IFERROR(VLOOKUP(C399,Products!$A$4:$B$103,2,FALSE),"")</f>
        <v/>
      </c>
      <c r="E399" s="3"/>
    </row>
    <row r="400" spans="4:5">
      <c r="D400" t="str">
        <f>IFERROR(VLOOKUP(C400,Products!$A$4:$B$103,2,FALSE),"")</f>
        <v/>
      </c>
      <c r="E400" s="3"/>
    </row>
    <row r="401" spans="4:5">
      <c r="D401" t="str">
        <f>IFERROR(VLOOKUP(C401,Products!$A$4:$B$103,2,FALSE),"")</f>
        <v/>
      </c>
      <c r="E401" s="3"/>
    </row>
    <row r="402" spans="4:5">
      <c r="D402" t="str">
        <f>IFERROR(VLOOKUP(C402,Products!$A$4:$B$103,2,FALSE),"")</f>
        <v/>
      </c>
      <c r="E402" s="3"/>
    </row>
    <row r="403" spans="4:5">
      <c r="D403" t="str">
        <f>IFERROR(VLOOKUP(C403,Products!$A$4:$B$103,2,FALSE),"")</f>
        <v/>
      </c>
      <c r="E403" s="3"/>
    </row>
    <row r="404" spans="4:5">
      <c r="D404" t="str">
        <f>IFERROR(VLOOKUP(C404,Products!$A$4:$B$103,2,FALSE),"")</f>
        <v/>
      </c>
      <c r="E404" s="3"/>
    </row>
    <row r="405" spans="4:5">
      <c r="D405" t="str">
        <f>IFERROR(VLOOKUP(C405,Products!$A$4:$B$103,2,FALSE),"")</f>
        <v/>
      </c>
      <c r="E405" s="3"/>
    </row>
    <row r="406" spans="4:5">
      <c r="D406" t="str">
        <f>IFERROR(VLOOKUP(C406,Products!$A$4:$B$103,2,FALSE),"")</f>
        <v/>
      </c>
      <c r="E406" s="3"/>
    </row>
    <row r="407" spans="4:5">
      <c r="D407" t="str">
        <f>IFERROR(VLOOKUP(C407,Products!$A$4:$B$103,2,FALSE),"")</f>
        <v/>
      </c>
      <c r="E407" s="3"/>
    </row>
    <row r="408" spans="4:5">
      <c r="D408" t="str">
        <f>IFERROR(VLOOKUP(C408,Products!$A$4:$B$103,2,FALSE),"")</f>
        <v/>
      </c>
      <c r="E408" s="3"/>
    </row>
    <row r="409" spans="4:5">
      <c r="D409" t="str">
        <f>IFERROR(VLOOKUP(C409,Products!$A$4:$B$103,2,FALSE),"")</f>
        <v/>
      </c>
      <c r="E409" s="3"/>
    </row>
    <row r="410" spans="4:5">
      <c r="D410" t="str">
        <f>IFERROR(VLOOKUP(C410,Products!$A$4:$B$103,2,FALSE),"")</f>
        <v/>
      </c>
      <c r="E410" s="3"/>
    </row>
    <row r="411" spans="4:5">
      <c r="D411" t="str">
        <f>IFERROR(VLOOKUP(C411,Products!$A$4:$B$103,2,FALSE),"")</f>
        <v/>
      </c>
      <c r="E411" s="3"/>
    </row>
    <row r="412" spans="4:5">
      <c r="D412" t="str">
        <f>IFERROR(VLOOKUP(C412,Products!$A$4:$B$103,2,FALSE),"")</f>
        <v/>
      </c>
      <c r="E412" s="3"/>
    </row>
    <row r="413" spans="4:5">
      <c r="D413" t="str">
        <f>IFERROR(VLOOKUP(C413,Products!$A$4:$B$103,2,FALSE),"")</f>
        <v/>
      </c>
      <c r="E413" s="3"/>
    </row>
    <row r="414" spans="4:5">
      <c r="D414" t="str">
        <f>IFERROR(VLOOKUP(C414,Products!$A$4:$B$103,2,FALSE),"")</f>
        <v/>
      </c>
      <c r="E414" s="3"/>
    </row>
    <row r="415" spans="4:5">
      <c r="D415" t="str">
        <f>IFERROR(VLOOKUP(C415,Products!$A$4:$B$103,2,FALSE),"")</f>
        <v/>
      </c>
      <c r="E415" s="3"/>
    </row>
    <row r="416" spans="4:5">
      <c r="D416" t="str">
        <f>IFERROR(VLOOKUP(C416,Products!$A$4:$B$103,2,FALSE),"")</f>
        <v/>
      </c>
      <c r="E416" s="3"/>
    </row>
    <row r="417" spans="4:5">
      <c r="D417" t="str">
        <f>IFERROR(VLOOKUP(C417,Products!$A$4:$B$103,2,FALSE),"")</f>
        <v/>
      </c>
      <c r="E417" s="3"/>
    </row>
    <row r="418" spans="4:5">
      <c r="D418" t="str">
        <f>IFERROR(VLOOKUP(C418,Products!$A$4:$B$103,2,FALSE),"")</f>
        <v/>
      </c>
      <c r="E418" s="3"/>
    </row>
    <row r="419" spans="4:5">
      <c r="D419" t="str">
        <f>IFERROR(VLOOKUP(C419,Products!$A$4:$B$103,2,FALSE),"")</f>
        <v/>
      </c>
      <c r="E419" s="3"/>
    </row>
    <row r="420" spans="4:5">
      <c r="D420" t="str">
        <f>IFERROR(VLOOKUP(C420,Products!$A$4:$B$103,2,FALSE),"")</f>
        <v/>
      </c>
      <c r="E420" s="3"/>
    </row>
    <row r="421" spans="4:5">
      <c r="D421" t="str">
        <f>IFERROR(VLOOKUP(C421,Products!$A$4:$B$103,2,FALSE),"")</f>
        <v/>
      </c>
      <c r="E421" s="3"/>
    </row>
    <row r="422" spans="4:5">
      <c r="D422" t="str">
        <f>IFERROR(VLOOKUP(C422,Products!$A$4:$B$103,2,FALSE),"")</f>
        <v/>
      </c>
      <c r="E422" s="3"/>
    </row>
    <row r="423" spans="4:5">
      <c r="D423" t="str">
        <f>IFERROR(VLOOKUP(C423,Products!$A$4:$B$103,2,FALSE),"")</f>
        <v/>
      </c>
      <c r="E423" s="3"/>
    </row>
    <row r="424" spans="4:5">
      <c r="D424" t="str">
        <f>IFERROR(VLOOKUP(C424,Products!$A$4:$B$103,2,FALSE),"")</f>
        <v/>
      </c>
      <c r="E424" s="3"/>
    </row>
    <row r="425" spans="4:5">
      <c r="D425" t="str">
        <f>IFERROR(VLOOKUP(C425,Products!$A$4:$B$103,2,FALSE),"")</f>
        <v/>
      </c>
      <c r="E425" s="3"/>
    </row>
    <row r="426" spans="4:5">
      <c r="D426" t="str">
        <f>IFERROR(VLOOKUP(C426,Products!$A$4:$B$103,2,FALSE),"")</f>
        <v/>
      </c>
      <c r="E426" s="3"/>
    </row>
    <row r="427" spans="4:5">
      <c r="D427" t="str">
        <f>IFERROR(VLOOKUP(C427,Products!$A$4:$B$103,2,FALSE),"")</f>
        <v/>
      </c>
      <c r="E427" s="3"/>
    </row>
    <row r="428" spans="4:5">
      <c r="D428" t="str">
        <f>IFERROR(VLOOKUP(C428,Products!$A$4:$B$103,2,FALSE),"")</f>
        <v/>
      </c>
      <c r="E428" s="3"/>
    </row>
    <row r="429" spans="4:5">
      <c r="D429" t="str">
        <f>IFERROR(VLOOKUP(C429,Products!$A$4:$B$103,2,FALSE),"")</f>
        <v/>
      </c>
      <c r="E429" s="3"/>
    </row>
    <row r="430" spans="4:5">
      <c r="D430" t="str">
        <f>IFERROR(VLOOKUP(C430,Products!$A$4:$B$103,2,FALSE),"")</f>
        <v/>
      </c>
      <c r="E430" s="3"/>
    </row>
    <row r="431" spans="4:5">
      <c r="D431" t="str">
        <f>IFERROR(VLOOKUP(C431,Products!$A$4:$B$103,2,FALSE),"")</f>
        <v/>
      </c>
      <c r="E431" s="3"/>
    </row>
    <row r="432" spans="4:5">
      <c r="D432" t="str">
        <f>IFERROR(VLOOKUP(C432,Products!$A$4:$B$103,2,FALSE),"")</f>
        <v/>
      </c>
      <c r="E432" s="3"/>
    </row>
    <row r="433" spans="4:5">
      <c r="D433" t="str">
        <f>IFERROR(VLOOKUP(C433,Products!$A$4:$B$103,2,FALSE),"")</f>
        <v/>
      </c>
      <c r="E433" s="3"/>
    </row>
    <row r="434" spans="4:5">
      <c r="D434" t="str">
        <f>IFERROR(VLOOKUP(C434,Products!$A$4:$B$103,2,FALSE),"")</f>
        <v/>
      </c>
      <c r="E434" s="3"/>
    </row>
    <row r="435" spans="4:5">
      <c r="D435" t="str">
        <f>IFERROR(VLOOKUP(C435,Products!$A$4:$B$103,2,FALSE),"")</f>
        <v/>
      </c>
      <c r="E435" s="3"/>
    </row>
    <row r="436" spans="4:5">
      <c r="D436" t="str">
        <f>IFERROR(VLOOKUP(C436,Products!$A$4:$B$103,2,FALSE),"")</f>
        <v/>
      </c>
      <c r="E436" s="3"/>
    </row>
    <row r="437" spans="4:5">
      <c r="D437" t="str">
        <f>IFERROR(VLOOKUP(C437,Products!$A$4:$B$103,2,FALSE),"")</f>
        <v/>
      </c>
      <c r="E437" s="3"/>
    </row>
    <row r="438" spans="4:5">
      <c r="D438" t="str">
        <f>IFERROR(VLOOKUP(C438,Products!$A$4:$B$103,2,FALSE),"")</f>
        <v/>
      </c>
      <c r="E438" s="3"/>
    </row>
    <row r="439" spans="4:5">
      <c r="D439" t="str">
        <f>IFERROR(VLOOKUP(C439,Products!$A$4:$B$103,2,FALSE),"")</f>
        <v/>
      </c>
      <c r="E439" s="3"/>
    </row>
    <row r="440" spans="4:5">
      <c r="D440" t="str">
        <f>IFERROR(VLOOKUP(C440,Products!$A$4:$B$103,2,FALSE),"")</f>
        <v/>
      </c>
      <c r="E440" s="3"/>
    </row>
    <row r="441" spans="4:5">
      <c r="D441" t="str">
        <f>IFERROR(VLOOKUP(C441,Products!$A$4:$B$103,2,FALSE),"")</f>
        <v/>
      </c>
      <c r="E441" s="3"/>
    </row>
    <row r="442" spans="4:5">
      <c r="D442" t="str">
        <f>IFERROR(VLOOKUP(C442,Products!$A$4:$B$103,2,FALSE),"")</f>
        <v/>
      </c>
      <c r="E442" s="3"/>
    </row>
    <row r="443" spans="4:5">
      <c r="D443" t="str">
        <f>IFERROR(VLOOKUP(C443,Products!$A$4:$B$103,2,FALSE),"")</f>
        <v/>
      </c>
      <c r="E443" s="3"/>
    </row>
    <row r="444" spans="4:5">
      <c r="D444" t="str">
        <f>IFERROR(VLOOKUP(C444,Products!$A$4:$B$103,2,FALSE),"")</f>
        <v/>
      </c>
      <c r="E444" s="3"/>
    </row>
    <row r="445" spans="4:5">
      <c r="D445" t="str">
        <f>IFERROR(VLOOKUP(C445,Products!$A$4:$B$103,2,FALSE),"")</f>
        <v/>
      </c>
      <c r="E445" s="3"/>
    </row>
    <row r="446" spans="4:5">
      <c r="D446" t="str">
        <f>IFERROR(VLOOKUP(C446,Products!$A$4:$B$103,2,FALSE),"")</f>
        <v/>
      </c>
      <c r="E446" s="3"/>
    </row>
    <row r="447" spans="4:5">
      <c r="D447" t="str">
        <f>IFERROR(VLOOKUP(C447,Products!$A$4:$B$103,2,FALSE),"")</f>
        <v/>
      </c>
      <c r="E447" s="3"/>
    </row>
    <row r="448" spans="4:5">
      <c r="D448" t="str">
        <f>IFERROR(VLOOKUP(C448,Products!$A$4:$B$103,2,FALSE),"")</f>
        <v/>
      </c>
      <c r="E448" s="3"/>
    </row>
    <row r="449" spans="4:5">
      <c r="D449" t="str">
        <f>IFERROR(VLOOKUP(C449,Products!$A$4:$B$103,2,FALSE),"")</f>
        <v/>
      </c>
      <c r="E449" s="3"/>
    </row>
    <row r="450" spans="4:5">
      <c r="D450" t="str">
        <f>IFERROR(VLOOKUP(C450,Products!$A$4:$B$103,2,FALSE),"")</f>
        <v/>
      </c>
      <c r="E450" s="3"/>
    </row>
    <row r="451" spans="4:5">
      <c r="D451" t="str">
        <f>IFERROR(VLOOKUP(C451,Products!$A$4:$B$103,2,FALSE),"")</f>
        <v/>
      </c>
      <c r="E451" s="3"/>
    </row>
    <row r="452" spans="4:5">
      <c r="D452" t="str">
        <f>IFERROR(VLOOKUP(C452,Products!$A$4:$B$103,2,FALSE),"")</f>
        <v/>
      </c>
      <c r="E452" s="3"/>
    </row>
    <row r="453" spans="4:5">
      <c r="D453" t="str">
        <f>IFERROR(VLOOKUP(C453,Products!$A$4:$B$103,2,FALSE),"")</f>
        <v/>
      </c>
      <c r="E453" s="3"/>
    </row>
    <row r="454" spans="4:5">
      <c r="D454" t="str">
        <f>IFERROR(VLOOKUP(C454,Products!$A$4:$B$103,2,FALSE),"")</f>
        <v/>
      </c>
      <c r="E454" s="3"/>
    </row>
    <row r="455" spans="4:5">
      <c r="D455" t="str">
        <f>IFERROR(VLOOKUP(C455,Products!$A$4:$B$103,2,FALSE),"")</f>
        <v/>
      </c>
      <c r="E455" s="3"/>
    </row>
    <row r="456" spans="4:5">
      <c r="D456" t="str">
        <f>IFERROR(VLOOKUP(C456,Products!$A$4:$B$103,2,FALSE),"")</f>
        <v/>
      </c>
      <c r="E456" s="3"/>
    </row>
    <row r="457" spans="4:5">
      <c r="D457" t="str">
        <f>IFERROR(VLOOKUP(C457,Products!$A$4:$B$103,2,FALSE),"")</f>
        <v/>
      </c>
      <c r="E457" s="3"/>
    </row>
    <row r="458" spans="4:5">
      <c r="D458" t="str">
        <f>IFERROR(VLOOKUP(C458,Products!$A$4:$B$103,2,FALSE),"")</f>
        <v/>
      </c>
      <c r="E458" s="3"/>
    </row>
    <row r="459" spans="4:5">
      <c r="D459" t="str">
        <f>IFERROR(VLOOKUP(C459,Products!$A$4:$B$103,2,FALSE),"")</f>
        <v/>
      </c>
      <c r="E459" s="3"/>
    </row>
    <row r="460" spans="4:5">
      <c r="D460" t="str">
        <f>IFERROR(VLOOKUP(C460,Products!$A$4:$B$103,2,FALSE),"")</f>
        <v/>
      </c>
      <c r="E460" s="3"/>
    </row>
    <row r="461" spans="4:5">
      <c r="D461" t="str">
        <f>IFERROR(VLOOKUP(C461,Products!$A$4:$B$103,2,FALSE),"")</f>
        <v/>
      </c>
      <c r="E461" s="3"/>
    </row>
    <row r="462" spans="4:5">
      <c r="D462" t="str">
        <f>IFERROR(VLOOKUP(C462,Products!$A$4:$B$103,2,FALSE),"")</f>
        <v/>
      </c>
      <c r="E462" s="3"/>
    </row>
    <row r="463" spans="4:5">
      <c r="D463" t="str">
        <f>IFERROR(VLOOKUP(C463,Products!$A$4:$B$103,2,FALSE),"")</f>
        <v/>
      </c>
      <c r="E463" s="3"/>
    </row>
    <row r="464" spans="4:5">
      <c r="D464" t="str">
        <f>IFERROR(VLOOKUP(C464,Products!$A$4:$B$103,2,FALSE),"")</f>
        <v/>
      </c>
      <c r="E464" s="3"/>
    </row>
    <row r="465" spans="4:5">
      <c r="D465" t="str">
        <f>IFERROR(VLOOKUP(C465,Products!$A$4:$B$103,2,FALSE),"")</f>
        <v/>
      </c>
      <c r="E465" s="3"/>
    </row>
    <row r="466" spans="4:5">
      <c r="D466" t="str">
        <f>IFERROR(VLOOKUP(C466,Products!$A$4:$B$103,2,FALSE),"")</f>
        <v/>
      </c>
      <c r="E466" s="3"/>
    </row>
    <row r="467" spans="4:5">
      <c r="D467" t="str">
        <f>IFERROR(VLOOKUP(C467,Products!$A$4:$B$103,2,FALSE),"")</f>
        <v/>
      </c>
      <c r="E467" s="3"/>
    </row>
    <row r="468" spans="4:5">
      <c r="D468" t="str">
        <f>IFERROR(VLOOKUP(C468,Products!$A$4:$B$103,2,FALSE),"")</f>
        <v/>
      </c>
      <c r="E468" s="3"/>
    </row>
    <row r="469" spans="4:5">
      <c r="D469" t="str">
        <f>IFERROR(VLOOKUP(C469,Products!$A$4:$B$103,2,FALSE),"")</f>
        <v/>
      </c>
      <c r="E469" s="3"/>
    </row>
    <row r="470" spans="4:5">
      <c r="D470" t="str">
        <f>IFERROR(VLOOKUP(C470,Products!$A$4:$B$103,2,FALSE),"")</f>
        <v/>
      </c>
      <c r="E470" s="3"/>
    </row>
    <row r="471" spans="4:5">
      <c r="D471" t="str">
        <f>IFERROR(VLOOKUP(C471,Products!$A$4:$B$103,2,FALSE),"")</f>
        <v/>
      </c>
      <c r="E471" s="3"/>
    </row>
    <row r="472" spans="4:5">
      <c r="D472" t="str">
        <f>IFERROR(VLOOKUP(C472,Products!$A$4:$B$103,2,FALSE),"")</f>
        <v/>
      </c>
      <c r="E472" s="3"/>
    </row>
    <row r="473" spans="4:5">
      <c r="D473" t="str">
        <f>IFERROR(VLOOKUP(C473,Products!$A$4:$B$103,2,FALSE),"")</f>
        <v/>
      </c>
      <c r="E473" s="3"/>
    </row>
    <row r="474" spans="4:5">
      <c r="D474" t="str">
        <f>IFERROR(VLOOKUP(C474,Products!$A$4:$B$103,2,FALSE),"")</f>
        <v/>
      </c>
      <c r="E474" s="3"/>
    </row>
    <row r="475" spans="4:5">
      <c r="D475" t="str">
        <f>IFERROR(VLOOKUP(C475,Products!$A$4:$B$103,2,FALSE),"")</f>
        <v/>
      </c>
      <c r="E475" s="3"/>
    </row>
    <row r="476" spans="4:5">
      <c r="D476" t="str">
        <f>IFERROR(VLOOKUP(C476,Products!$A$4:$B$103,2,FALSE),"")</f>
        <v/>
      </c>
      <c r="E476" s="3"/>
    </row>
    <row r="477" spans="4:5">
      <c r="D477" t="str">
        <f>IFERROR(VLOOKUP(C477,Products!$A$4:$B$103,2,FALSE),"")</f>
        <v/>
      </c>
      <c r="E477" s="3"/>
    </row>
    <row r="478" spans="4:5">
      <c r="D478" t="str">
        <f>IFERROR(VLOOKUP(C478,Products!$A$4:$B$103,2,FALSE),"")</f>
        <v/>
      </c>
      <c r="E478" s="3"/>
    </row>
    <row r="479" spans="4:5">
      <c r="D479" t="str">
        <f>IFERROR(VLOOKUP(C479,Products!$A$4:$B$103,2,FALSE),"")</f>
        <v/>
      </c>
      <c r="E479" s="3"/>
    </row>
    <row r="480" spans="4:5">
      <c r="D480" t="str">
        <f>IFERROR(VLOOKUP(C480,Products!$A$4:$B$103,2,FALSE),"")</f>
        <v/>
      </c>
      <c r="E480" s="3"/>
    </row>
    <row r="481" spans="4:5">
      <c r="D481" t="str">
        <f>IFERROR(VLOOKUP(C481,Products!$A$4:$B$103,2,FALSE),"")</f>
        <v/>
      </c>
      <c r="E481" s="3"/>
    </row>
    <row r="482" spans="4:5">
      <c r="D482" t="str">
        <f>IFERROR(VLOOKUP(C482,Products!$A$4:$B$103,2,FALSE),"")</f>
        <v/>
      </c>
      <c r="E482" s="3"/>
    </row>
    <row r="483" spans="4:5">
      <c r="D483" t="str">
        <f>IFERROR(VLOOKUP(C483,Products!$A$4:$B$103,2,FALSE),"")</f>
        <v/>
      </c>
      <c r="E483" s="3"/>
    </row>
    <row r="484" spans="4:5">
      <c r="D484" t="str">
        <f>IFERROR(VLOOKUP(C484,Products!$A$4:$B$103,2,FALSE),"")</f>
        <v/>
      </c>
      <c r="E484" s="3"/>
    </row>
    <row r="485" spans="4:5">
      <c r="D485" t="str">
        <f>IFERROR(VLOOKUP(C485,Products!$A$4:$B$103,2,FALSE),"")</f>
        <v/>
      </c>
      <c r="E485" s="3"/>
    </row>
    <row r="486" spans="4:5">
      <c r="D486" t="str">
        <f>IFERROR(VLOOKUP(C486,Products!$A$4:$B$103,2,FALSE),"")</f>
        <v/>
      </c>
      <c r="E486" s="3"/>
    </row>
  </sheetData>
  <mergeCells count="1">
    <mergeCell ref="A1:I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1000000}">
          <x14:formula1>
            <xm:f>Products!$A$4:$A$103</xm:f>
          </x14:formula1>
          <xm:sqref>C4:C486</xm:sqref>
        </x14:dataValidation>
        <x14:dataValidation type="list" allowBlank="1" showInputMessage="1" showErrorMessage="1" xr:uid="{035E664F-EB91-49BA-A102-181C19FC4279}">
          <x14:formula1>
            <xm:f>Lists!$C$4:$C$52</xm:f>
          </x14:formula1>
          <xm:sqref>B4:B486</xm:sqref>
        </x14:dataValidation>
        <x14:dataValidation type="list" allowBlank="1" showInputMessage="1" showErrorMessage="1" xr:uid="{3D8058C5-7046-4913-AEE1-A43316E51387}">
          <x14:formula1>
            <xm:f>Lists!$F$4:$F$52</xm:f>
          </x14:formula1>
          <xm:sqref>H4:H486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3"/>
  <sheetViews>
    <sheetView workbookViewId="0">
      <selection activeCell="N32" sqref="N32"/>
    </sheetView>
  </sheetViews>
  <sheetFormatPr defaultRowHeight="13.8"/>
  <cols>
    <col min="1" max="1" width="14" customWidth="1"/>
    <col min="2" max="2" width="13" customWidth="1"/>
    <col min="3" max="3" width="22" customWidth="1"/>
    <col min="4" max="4" width="13" customWidth="1"/>
    <col min="5" max="5" width="24" style="8" customWidth="1"/>
    <col min="6" max="9" width="12" customWidth="1"/>
    <col min="10" max="10" width="14" style="8" customWidth="1"/>
    <col min="11" max="11" width="18" customWidth="1"/>
  </cols>
  <sheetData>
    <row r="1" spans="1:11" ht="24" customHeight="1">
      <c r="A1" s="22" t="s">
        <v>117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30" customHeight="1">
      <c r="A3" s="14" t="s">
        <v>118</v>
      </c>
      <c r="B3" s="14" t="s">
        <v>119</v>
      </c>
      <c r="C3" s="14" t="s">
        <v>71</v>
      </c>
      <c r="D3" s="14" t="s">
        <v>68</v>
      </c>
      <c r="E3" s="9" t="s">
        <v>69</v>
      </c>
      <c r="F3" s="14" t="s">
        <v>120</v>
      </c>
      <c r="G3" s="14" t="s">
        <v>122</v>
      </c>
      <c r="H3" s="14" t="s">
        <v>123</v>
      </c>
      <c r="I3" s="14" t="s">
        <v>81</v>
      </c>
      <c r="J3" s="1" t="s">
        <v>74</v>
      </c>
      <c r="K3" s="9" t="s">
        <v>121</v>
      </c>
    </row>
    <row r="4" spans="1:11">
      <c r="A4" s="15" t="s">
        <v>106</v>
      </c>
      <c r="B4" s="18">
        <v>46232</v>
      </c>
      <c r="C4" s="15" t="s">
        <v>8</v>
      </c>
      <c r="D4" s="15" t="s">
        <v>82</v>
      </c>
      <c r="E4" s="8" t="str">
        <f>IFERROR(VLOOKUP(D4,Products!$A$4:$B$103,2,FALSE),"")</f>
        <v>Copy Paper, Letter</v>
      </c>
      <c r="F4" s="15">
        <v>10</v>
      </c>
      <c r="G4" s="18">
        <v>46235</v>
      </c>
      <c r="H4" s="15">
        <v>10</v>
      </c>
      <c r="I4" s="15" t="s">
        <v>28</v>
      </c>
      <c r="J4" s="16">
        <v>34.5</v>
      </c>
      <c r="K4" s="10">
        <f t="shared" ref="K4:K35" si="0">IF(OR(F4="",J4=""),"",F4*J4)</f>
        <v>345</v>
      </c>
    </row>
    <row r="5" spans="1:11">
      <c r="A5" s="15" t="s">
        <v>110</v>
      </c>
      <c r="B5" s="18">
        <v>46233</v>
      </c>
      <c r="C5" s="15" t="s">
        <v>14</v>
      </c>
      <c r="D5" s="15" t="s">
        <v>88</v>
      </c>
      <c r="E5" s="8" t="str">
        <f>IFERROR(VLOOKUP(D5,Products!$A$4:$B$103,2,FALSE),"")</f>
        <v>Wireless Mouse</v>
      </c>
      <c r="F5" s="15">
        <v>6</v>
      </c>
      <c r="G5" s="18">
        <v>46237</v>
      </c>
      <c r="H5" s="15">
        <v>6</v>
      </c>
      <c r="I5" s="15" t="s">
        <v>28</v>
      </c>
      <c r="J5" s="16">
        <v>18.5</v>
      </c>
      <c r="K5" s="10">
        <f t="shared" si="0"/>
        <v>111</v>
      </c>
    </row>
    <row r="6" spans="1:11">
      <c r="A6" s="15" t="s">
        <v>124</v>
      </c>
      <c r="B6" s="18">
        <v>46239</v>
      </c>
      <c r="C6" s="15" t="s">
        <v>32</v>
      </c>
      <c r="D6" s="15" t="s">
        <v>96</v>
      </c>
      <c r="E6" s="8" t="str">
        <f>IFERROR(VLOOKUP(D6,Products!$A$4:$B$103,2,FALSE),"")</f>
        <v>Packing Tape</v>
      </c>
      <c r="F6" s="15">
        <v>12</v>
      </c>
      <c r="G6" s="18">
        <v>46246</v>
      </c>
      <c r="H6" s="15">
        <v>0</v>
      </c>
      <c r="I6" s="15" t="s">
        <v>16</v>
      </c>
      <c r="J6" s="16">
        <v>16.399999999999999</v>
      </c>
      <c r="K6" s="10">
        <f t="shared" si="0"/>
        <v>196.79999999999998</v>
      </c>
    </row>
    <row r="7" spans="1:11">
      <c r="A7" s="15"/>
      <c r="B7" s="18"/>
      <c r="C7" s="15"/>
      <c r="D7" s="15"/>
      <c r="E7" s="8" t="str">
        <f>IFERROR(VLOOKUP(D7,Products!$A$4:$B$103,2,FALSE),"")</f>
        <v/>
      </c>
      <c r="F7" s="15"/>
      <c r="G7" s="15"/>
      <c r="H7" s="15"/>
      <c r="I7" s="15"/>
      <c r="J7" s="16"/>
      <c r="K7" s="10" t="str">
        <f t="shared" si="0"/>
        <v/>
      </c>
    </row>
    <row r="8" spans="1:11">
      <c r="A8" s="15"/>
      <c r="B8" s="18"/>
      <c r="C8" s="15"/>
      <c r="D8" s="15"/>
      <c r="E8" s="8" t="str">
        <f>IFERROR(VLOOKUP(D8,Products!$A$4:$B$103,2,FALSE),"")</f>
        <v/>
      </c>
      <c r="F8" s="15"/>
      <c r="G8" s="15"/>
      <c r="H8" s="15"/>
      <c r="I8" s="15"/>
      <c r="J8" s="16"/>
      <c r="K8" s="10" t="str">
        <f t="shared" si="0"/>
        <v/>
      </c>
    </row>
    <row r="9" spans="1:11">
      <c r="A9" s="15"/>
      <c r="B9" s="18"/>
      <c r="C9" s="15"/>
      <c r="D9" s="15"/>
      <c r="E9" s="8" t="str">
        <f>IFERROR(VLOOKUP(D9,Products!$A$4:$B$103,2,FALSE),"")</f>
        <v/>
      </c>
      <c r="F9" s="15"/>
      <c r="G9" s="15"/>
      <c r="H9" s="15"/>
      <c r="I9" s="15"/>
      <c r="J9" s="16"/>
      <c r="K9" s="10" t="str">
        <f t="shared" si="0"/>
        <v/>
      </c>
    </row>
    <row r="10" spans="1:11">
      <c r="A10" s="15"/>
      <c r="B10" s="18"/>
      <c r="C10" s="15"/>
      <c r="D10" s="15"/>
      <c r="E10" s="8" t="str">
        <f>IFERROR(VLOOKUP(D10,Products!$A$4:$B$103,2,FALSE),"")</f>
        <v/>
      </c>
      <c r="F10" s="15"/>
      <c r="G10" s="15"/>
      <c r="H10" s="15"/>
      <c r="I10" s="15"/>
      <c r="J10" s="16"/>
      <c r="K10" s="10" t="str">
        <f t="shared" si="0"/>
        <v/>
      </c>
    </row>
    <row r="11" spans="1:11">
      <c r="A11" s="15"/>
      <c r="B11" s="18"/>
      <c r="C11" s="15"/>
      <c r="D11" s="15"/>
      <c r="E11" s="8" t="str">
        <f>IFERROR(VLOOKUP(D11,Products!$A$4:$B$103,2,FALSE),"")</f>
        <v/>
      </c>
      <c r="F11" s="15"/>
      <c r="G11" s="15"/>
      <c r="H11" s="15"/>
      <c r="I11" s="15"/>
      <c r="J11" s="16"/>
      <c r="K11" s="10" t="str">
        <f t="shared" si="0"/>
        <v/>
      </c>
    </row>
    <row r="12" spans="1:11">
      <c r="A12" s="15"/>
      <c r="B12" s="18"/>
      <c r="C12" s="15"/>
      <c r="D12" s="15"/>
      <c r="E12" s="8" t="str">
        <f>IFERROR(VLOOKUP(D12,Products!$A$4:$B$103,2,FALSE),"")</f>
        <v/>
      </c>
      <c r="F12" s="15"/>
      <c r="G12" s="15"/>
      <c r="H12" s="15"/>
      <c r="I12" s="15"/>
      <c r="J12" s="16"/>
      <c r="K12" s="10" t="str">
        <f t="shared" si="0"/>
        <v/>
      </c>
    </row>
    <row r="13" spans="1:11">
      <c r="A13" s="15"/>
      <c r="B13" s="18"/>
      <c r="C13" s="15"/>
      <c r="D13" s="15"/>
      <c r="E13" s="8" t="str">
        <f>IFERROR(VLOOKUP(D13,Products!$A$4:$B$103,2,FALSE),"")</f>
        <v/>
      </c>
      <c r="F13" s="15"/>
      <c r="G13" s="15"/>
      <c r="H13" s="15"/>
      <c r="I13" s="15"/>
      <c r="J13" s="16"/>
      <c r="K13" s="10" t="str">
        <f t="shared" si="0"/>
        <v/>
      </c>
    </row>
    <row r="14" spans="1:11">
      <c r="A14" s="15"/>
      <c r="B14" s="18"/>
      <c r="C14" s="15"/>
      <c r="D14" s="15"/>
      <c r="E14" s="8" t="str">
        <f>IFERROR(VLOOKUP(D14,Products!$A$4:$B$103,2,FALSE),"")</f>
        <v/>
      </c>
      <c r="F14" s="15"/>
      <c r="G14" s="15"/>
      <c r="H14" s="15"/>
      <c r="I14" s="15"/>
      <c r="J14" s="16"/>
      <c r="K14" s="10" t="str">
        <f t="shared" si="0"/>
        <v/>
      </c>
    </row>
    <row r="15" spans="1:11">
      <c r="A15" s="15"/>
      <c r="B15" s="18"/>
      <c r="C15" s="15"/>
      <c r="D15" s="15"/>
      <c r="E15" s="8" t="str">
        <f>IFERROR(VLOOKUP(D15,Products!$A$4:$B$103,2,FALSE),"")</f>
        <v/>
      </c>
      <c r="F15" s="15"/>
      <c r="G15" s="15"/>
      <c r="H15" s="15"/>
      <c r="I15" s="15"/>
      <c r="J15" s="16"/>
      <c r="K15" s="10" t="str">
        <f t="shared" si="0"/>
        <v/>
      </c>
    </row>
    <row r="16" spans="1:11">
      <c r="A16" s="15"/>
      <c r="B16" s="18"/>
      <c r="C16" s="15"/>
      <c r="D16" s="15"/>
      <c r="E16" s="8" t="str">
        <f>IFERROR(VLOOKUP(D16,Products!$A$4:$B$103,2,FALSE),"")</f>
        <v/>
      </c>
      <c r="F16" s="15"/>
      <c r="G16" s="15"/>
      <c r="H16" s="15"/>
      <c r="I16" s="15"/>
      <c r="J16" s="16"/>
      <c r="K16" s="10" t="str">
        <f t="shared" si="0"/>
        <v/>
      </c>
    </row>
    <row r="17" spans="1:11">
      <c r="A17" s="15"/>
      <c r="B17" s="18"/>
      <c r="C17" s="15"/>
      <c r="D17" s="15"/>
      <c r="E17" s="8" t="str">
        <f>IFERROR(VLOOKUP(D17,Products!$A$4:$B$103,2,FALSE),"")</f>
        <v/>
      </c>
      <c r="F17" s="15"/>
      <c r="G17" s="15"/>
      <c r="H17" s="15"/>
      <c r="I17" s="15"/>
      <c r="J17" s="16"/>
      <c r="K17" s="10" t="str">
        <f t="shared" si="0"/>
        <v/>
      </c>
    </row>
    <row r="18" spans="1:11">
      <c r="A18" s="15"/>
      <c r="B18" s="18"/>
      <c r="C18" s="15"/>
      <c r="D18" s="15"/>
      <c r="E18" s="8" t="str">
        <f>IFERROR(VLOOKUP(D18,Products!$A$4:$B$103,2,FALSE),"")</f>
        <v/>
      </c>
      <c r="F18" s="15"/>
      <c r="G18" s="15"/>
      <c r="H18" s="15"/>
      <c r="I18" s="15"/>
      <c r="J18" s="16"/>
      <c r="K18" s="10" t="str">
        <f t="shared" si="0"/>
        <v/>
      </c>
    </row>
    <row r="19" spans="1:11">
      <c r="A19" s="15"/>
      <c r="B19" s="18"/>
      <c r="C19" s="15"/>
      <c r="D19" s="15"/>
      <c r="E19" s="8" t="str">
        <f>IFERROR(VLOOKUP(D19,Products!$A$4:$B$103,2,FALSE),"")</f>
        <v/>
      </c>
      <c r="F19" s="15"/>
      <c r="G19" s="15"/>
      <c r="H19" s="15"/>
      <c r="I19" s="15"/>
      <c r="J19" s="16"/>
      <c r="K19" s="10" t="str">
        <f t="shared" si="0"/>
        <v/>
      </c>
    </row>
    <row r="20" spans="1:11">
      <c r="A20" s="15"/>
      <c r="B20" s="18"/>
      <c r="C20" s="15"/>
      <c r="D20" s="15"/>
      <c r="E20" s="8" t="str">
        <f>IFERROR(VLOOKUP(D20,Products!$A$4:$B$103,2,FALSE),"")</f>
        <v/>
      </c>
      <c r="F20" s="15"/>
      <c r="G20" s="15"/>
      <c r="H20" s="15"/>
      <c r="I20" s="15"/>
      <c r="J20" s="16"/>
      <c r="K20" s="10" t="str">
        <f t="shared" si="0"/>
        <v/>
      </c>
    </row>
    <row r="21" spans="1:11">
      <c r="A21" s="15"/>
      <c r="B21" s="18"/>
      <c r="C21" s="15"/>
      <c r="D21" s="15"/>
      <c r="E21" s="8" t="str">
        <f>IFERROR(VLOOKUP(D21,Products!$A$4:$B$103,2,FALSE),"")</f>
        <v/>
      </c>
      <c r="F21" s="15"/>
      <c r="G21" s="15"/>
      <c r="H21" s="15"/>
      <c r="I21" s="15"/>
      <c r="J21" s="16"/>
      <c r="K21" s="10" t="str">
        <f t="shared" si="0"/>
        <v/>
      </c>
    </row>
    <row r="22" spans="1:11">
      <c r="A22" s="15"/>
      <c r="B22" s="18"/>
      <c r="C22" s="15"/>
      <c r="D22" s="15"/>
      <c r="E22" s="8" t="str">
        <f>IFERROR(VLOOKUP(D22,Products!$A$4:$B$103,2,FALSE),"")</f>
        <v/>
      </c>
      <c r="F22" s="15"/>
      <c r="G22" s="15"/>
      <c r="H22" s="15"/>
      <c r="I22" s="15"/>
      <c r="J22" s="16"/>
      <c r="K22" s="10" t="str">
        <f t="shared" si="0"/>
        <v/>
      </c>
    </row>
    <row r="23" spans="1:11">
      <c r="A23" s="15"/>
      <c r="B23" s="18"/>
      <c r="C23" s="15"/>
      <c r="D23" s="15"/>
      <c r="E23" s="8" t="str">
        <f>IFERROR(VLOOKUP(D23,Products!$A$4:$B$103,2,FALSE),"")</f>
        <v/>
      </c>
      <c r="F23" s="15"/>
      <c r="G23" s="15"/>
      <c r="H23" s="15"/>
      <c r="I23" s="15"/>
      <c r="J23" s="16"/>
      <c r="K23" s="10" t="str">
        <f t="shared" si="0"/>
        <v/>
      </c>
    </row>
    <row r="24" spans="1:11">
      <c r="A24" s="15"/>
      <c r="B24" s="18"/>
      <c r="C24" s="15"/>
      <c r="D24" s="15"/>
      <c r="E24" s="8" t="str">
        <f>IFERROR(VLOOKUP(D24,Products!$A$4:$B$103,2,FALSE),"")</f>
        <v/>
      </c>
      <c r="F24" s="15"/>
      <c r="G24" s="15"/>
      <c r="H24" s="15"/>
      <c r="I24" s="15"/>
      <c r="J24" s="16"/>
      <c r="K24" s="10" t="str">
        <f t="shared" si="0"/>
        <v/>
      </c>
    </row>
    <row r="25" spans="1:11">
      <c r="A25" s="15"/>
      <c r="B25" s="18"/>
      <c r="C25" s="15"/>
      <c r="D25" s="15"/>
      <c r="E25" s="8" t="str">
        <f>IFERROR(VLOOKUP(D25,Products!$A$4:$B$103,2,FALSE),"")</f>
        <v/>
      </c>
      <c r="F25" s="15"/>
      <c r="G25" s="15"/>
      <c r="H25" s="15"/>
      <c r="I25" s="15"/>
      <c r="J25" s="16"/>
      <c r="K25" s="10" t="str">
        <f t="shared" si="0"/>
        <v/>
      </c>
    </row>
    <row r="26" spans="1:11">
      <c r="A26" s="15"/>
      <c r="B26" s="18"/>
      <c r="C26" s="15"/>
      <c r="D26" s="15"/>
      <c r="E26" s="8" t="str">
        <f>IFERROR(VLOOKUP(D26,Products!$A$4:$B$103,2,FALSE),"")</f>
        <v/>
      </c>
      <c r="F26" s="15"/>
      <c r="G26" s="15"/>
      <c r="H26" s="15"/>
      <c r="I26" s="15"/>
      <c r="J26" s="16"/>
      <c r="K26" s="10" t="str">
        <f t="shared" si="0"/>
        <v/>
      </c>
    </row>
    <row r="27" spans="1:11">
      <c r="A27" s="15"/>
      <c r="B27" s="18"/>
      <c r="C27" s="15"/>
      <c r="D27" s="15"/>
      <c r="E27" s="8" t="str">
        <f>IFERROR(VLOOKUP(D27,Products!$A$4:$B$103,2,FALSE),"")</f>
        <v/>
      </c>
      <c r="F27" s="15"/>
      <c r="G27" s="15"/>
      <c r="H27" s="15"/>
      <c r="I27" s="15"/>
      <c r="J27" s="16"/>
      <c r="K27" s="10" t="str">
        <f t="shared" si="0"/>
        <v/>
      </c>
    </row>
    <row r="28" spans="1:11">
      <c r="A28" s="15"/>
      <c r="B28" s="18"/>
      <c r="C28" s="15"/>
      <c r="D28" s="15"/>
      <c r="E28" s="8" t="str">
        <f>IFERROR(VLOOKUP(D28,Products!$A$4:$B$103,2,FALSE),"")</f>
        <v/>
      </c>
      <c r="F28" s="15"/>
      <c r="G28" s="15"/>
      <c r="H28" s="15"/>
      <c r="I28" s="15"/>
      <c r="J28" s="16"/>
      <c r="K28" s="10" t="str">
        <f t="shared" si="0"/>
        <v/>
      </c>
    </row>
    <row r="29" spans="1:11">
      <c r="A29" s="15"/>
      <c r="B29" s="18"/>
      <c r="C29" s="15"/>
      <c r="D29" s="15"/>
      <c r="E29" s="8" t="str">
        <f>IFERROR(VLOOKUP(D29,Products!$A$4:$B$103,2,FALSE),"")</f>
        <v/>
      </c>
      <c r="F29" s="15"/>
      <c r="G29" s="15"/>
      <c r="H29" s="15"/>
      <c r="I29" s="15"/>
      <c r="J29" s="16"/>
      <c r="K29" s="10" t="str">
        <f t="shared" si="0"/>
        <v/>
      </c>
    </row>
    <row r="30" spans="1:11">
      <c r="A30" s="15"/>
      <c r="B30" s="18"/>
      <c r="C30" s="15"/>
      <c r="D30" s="15"/>
      <c r="E30" s="8" t="str">
        <f>IFERROR(VLOOKUP(D30,Products!$A$4:$B$103,2,FALSE),"")</f>
        <v/>
      </c>
      <c r="F30" s="15"/>
      <c r="G30" s="15"/>
      <c r="H30" s="15"/>
      <c r="I30" s="15"/>
      <c r="J30" s="16"/>
      <c r="K30" s="10" t="str">
        <f t="shared" si="0"/>
        <v/>
      </c>
    </row>
    <row r="31" spans="1:11">
      <c r="A31" s="15"/>
      <c r="B31" s="18"/>
      <c r="C31" s="15"/>
      <c r="D31" s="15"/>
      <c r="E31" s="8" t="str">
        <f>IFERROR(VLOOKUP(D31,Products!$A$4:$B$103,2,FALSE),"")</f>
        <v/>
      </c>
      <c r="F31" s="15"/>
      <c r="G31" s="15"/>
      <c r="H31" s="15"/>
      <c r="I31" s="15"/>
      <c r="J31" s="16"/>
      <c r="K31" s="10" t="str">
        <f t="shared" si="0"/>
        <v/>
      </c>
    </row>
    <row r="32" spans="1:11">
      <c r="A32" s="15"/>
      <c r="B32" s="18"/>
      <c r="C32" s="15"/>
      <c r="D32" s="15"/>
      <c r="E32" s="8" t="str">
        <f>IFERROR(VLOOKUP(D32,Products!$A$4:$B$103,2,FALSE),"")</f>
        <v/>
      </c>
      <c r="F32" s="15"/>
      <c r="G32" s="15"/>
      <c r="H32" s="15"/>
      <c r="I32" s="15"/>
      <c r="J32" s="16"/>
      <c r="K32" s="10" t="str">
        <f t="shared" si="0"/>
        <v/>
      </c>
    </row>
    <row r="33" spans="1:11">
      <c r="A33" s="15"/>
      <c r="B33" s="18"/>
      <c r="C33" s="15"/>
      <c r="D33" s="15"/>
      <c r="E33" s="8" t="str">
        <f>IFERROR(VLOOKUP(D33,Products!$A$4:$B$103,2,FALSE),"")</f>
        <v/>
      </c>
      <c r="F33" s="15"/>
      <c r="G33" s="15"/>
      <c r="H33" s="15"/>
      <c r="I33" s="15"/>
      <c r="J33" s="16"/>
      <c r="K33" s="10" t="str">
        <f t="shared" si="0"/>
        <v/>
      </c>
    </row>
    <row r="34" spans="1:11">
      <c r="A34" s="15"/>
      <c r="B34" s="18"/>
      <c r="C34" s="15"/>
      <c r="D34" s="15"/>
      <c r="E34" s="8" t="str">
        <f>IFERROR(VLOOKUP(D34,Products!$A$4:$B$103,2,FALSE),"")</f>
        <v/>
      </c>
      <c r="F34" s="15"/>
      <c r="G34" s="15"/>
      <c r="H34" s="15"/>
      <c r="I34" s="15"/>
      <c r="J34" s="16"/>
      <c r="K34" s="10" t="str">
        <f t="shared" si="0"/>
        <v/>
      </c>
    </row>
    <row r="35" spans="1:11">
      <c r="A35" s="15"/>
      <c r="B35" s="18"/>
      <c r="C35" s="15"/>
      <c r="D35" s="15"/>
      <c r="E35" s="8" t="str">
        <f>IFERROR(VLOOKUP(D35,Products!$A$4:$B$103,2,FALSE),"")</f>
        <v/>
      </c>
      <c r="F35" s="15"/>
      <c r="G35" s="15"/>
      <c r="H35" s="15"/>
      <c r="I35" s="15"/>
      <c r="J35" s="16"/>
      <c r="K35" s="10" t="str">
        <f t="shared" si="0"/>
        <v/>
      </c>
    </row>
    <row r="36" spans="1:11">
      <c r="A36" s="15"/>
      <c r="B36" s="18"/>
      <c r="C36" s="15"/>
      <c r="D36" s="15"/>
      <c r="E36" s="8" t="str">
        <f>IFERROR(VLOOKUP(D36,Products!$A$4:$B$103,2,FALSE),"")</f>
        <v/>
      </c>
      <c r="F36" s="15"/>
      <c r="G36" s="15"/>
      <c r="H36" s="15"/>
      <c r="I36" s="15"/>
      <c r="J36" s="16"/>
      <c r="K36" s="10" t="str">
        <f t="shared" ref="K36:K67" si="1">IF(OR(F36="",J36=""),"",F36*J36)</f>
        <v/>
      </c>
    </row>
    <row r="37" spans="1:11">
      <c r="A37" s="15"/>
      <c r="B37" s="18"/>
      <c r="C37" s="15"/>
      <c r="D37" s="15"/>
      <c r="E37" s="8" t="str">
        <f>IFERROR(VLOOKUP(D37,Products!$A$4:$B$103,2,FALSE),"")</f>
        <v/>
      </c>
      <c r="F37" s="15"/>
      <c r="G37" s="15"/>
      <c r="H37" s="15"/>
      <c r="I37" s="15"/>
      <c r="J37" s="16"/>
      <c r="K37" s="10" t="str">
        <f t="shared" si="1"/>
        <v/>
      </c>
    </row>
    <row r="38" spans="1:11">
      <c r="A38" s="15"/>
      <c r="B38" s="18"/>
      <c r="C38" s="15"/>
      <c r="D38" s="15"/>
      <c r="E38" s="8" t="str">
        <f>IFERROR(VLOOKUP(D38,Products!$A$4:$B$103,2,FALSE),"")</f>
        <v/>
      </c>
      <c r="F38" s="15"/>
      <c r="G38" s="15"/>
      <c r="H38" s="15"/>
      <c r="I38" s="15"/>
      <c r="J38" s="16"/>
      <c r="K38" s="10" t="str">
        <f t="shared" si="1"/>
        <v/>
      </c>
    </row>
    <row r="39" spans="1:11">
      <c r="A39" s="15"/>
      <c r="B39" s="18"/>
      <c r="C39" s="15"/>
      <c r="D39" s="15"/>
      <c r="E39" s="8" t="str">
        <f>IFERROR(VLOOKUP(D39,Products!$A$4:$B$103,2,FALSE),"")</f>
        <v/>
      </c>
      <c r="F39" s="15"/>
      <c r="G39" s="15"/>
      <c r="H39" s="15"/>
      <c r="I39" s="15"/>
      <c r="J39" s="16"/>
      <c r="K39" s="10" t="str">
        <f t="shared" si="1"/>
        <v/>
      </c>
    </row>
    <row r="40" spans="1:11">
      <c r="A40" s="15"/>
      <c r="B40" s="18"/>
      <c r="C40" s="15"/>
      <c r="D40" s="15"/>
      <c r="E40" s="8" t="str">
        <f>IFERROR(VLOOKUP(D40,Products!$A$4:$B$103,2,FALSE),"")</f>
        <v/>
      </c>
      <c r="F40" s="15"/>
      <c r="G40" s="15"/>
      <c r="H40" s="15"/>
      <c r="I40" s="15"/>
      <c r="J40" s="16"/>
      <c r="K40" s="10" t="str">
        <f t="shared" si="1"/>
        <v/>
      </c>
    </row>
    <row r="41" spans="1:11">
      <c r="A41" s="15"/>
      <c r="B41" s="18"/>
      <c r="C41" s="15"/>
      <c r="D41" s="15"/>
      <c r="E41" s="8" t="str">
        <f>IFERROR(VLOOKUP(D41,Products!$A$4:$B$103,2,FALSE),"")</f>
        <v/>
      </c>
      <c r="F41" s="15"/>
      <c r="G41" s="15"/>
      <c r="H41" s="15"/>
      <c r="I41" s="15"/>
      <c r="J41" s="16"/>
      <c r="K41" s="10" t="str">
        <f t="shared" si="1"/>
        <v/>
      </c>
    </row>
    <row r="42" spans="1:11">
      <c r="A42" s="15"/>
      <c r="B42" s="18"/>
      <c r="C42" s="15"/>
      <c r="D42" s="15"/>
      <c r="E42" s="8" t="str">
        <f>IFERROR(VLOOKUP(D42,Products!$A$4:$B$103,2,FALSE),"")</f>
        <v/>
      </c>
      <c r="F42" s="15"/>
      <c r="G42" s="15"/>
      <c r="H42" s="15"/>
      <c r="I42" s="15"/>
      <c r="J42" s="16"/>
      <c r="K42" s="10" t="str">
        <f t="shared" si="1"/>
        <v/>
      </c>
    </row>
    <row r="43" spans="1:11">
      <c r="A43" s="15"/>
      <c r="B43" s="18"/>
      <c r="C43" s="15"/>
      <c r="D43" s="15"/>
      <c r="E43" s="8" t="str">
        <f>IFERROR(VLOOKUP(D43,Products!$A$4:$B$103,2,FALSE),"")</f>
        <v/>
      </c>
      <c r="F43" s="15"/>
      <c r="G43" s="15"/>
      <c r="H43" s="15"/>
      <c r="I43" s="15"/>
      <c r="J43" s="16"/>
      <c r="K43" s="10" t="str">
        <f t="shared" si="1"/>
        <v/>
      </c>
    </row>
    <row r="44" spans="1:11">
      <c r="A44" s="15"/>
      <c r="B44" s="18"/>
      <c r="C44" s="15"/>
      <c r="D44" s="15"/>
      <c r="E44" s="8" t="str">
        <f>IFERROR(VLOOKUP(D44,Products!$A$4:$B$103,2,FALSE),"")</f>
        <v/>
      </c>
      <c r="F44" s="15"/>
      <c r="G44" s="15"/>
      <c r="H44" s="15"/>
      <c r="I44" s="15"/>
      <c r="J44" s="16"/>
      <c r="K44" s="10" t="str">
        <f t="shared" si="1"/>
        <v/>
      </c>
    </row>
    <row r="45" spans="1:11">
      <c r="A45" s="15"/>
      <c r="B45" s="18"/>
      <c r="C45" s="15"/>
      <c r="D45" s="15"/>
      <c r="E45" s="8" t="str">
        <f>IFERROR(VLOOKUP(D45,Products!$A$4:$B$103,2,FALSE),"")</f>
        <v/>
      </c>
      <c r="F45" s="15"/>
      <c r="G45" s="15"/>
      <c r="H45" s="15"/>
      <c r="I45" s="15"/>
      <c r="J45" s="16"/>
      <c r="K45" s="10" t="str">
        <f t="shared" si="1"/>
        <v/>
      </c>
    </row>
    <row r="46" spans="1:11">
      <c r="A46" s="15"/>
      <c r="B46" s="18"/>
      <c r="C46" s="15"/>
      <c r="D46" s="15"/>
      <c r="E46" s="8" t="str">
        <f>IFERROR(VLOOKUP(D46,Products!$A$4:$B$103,2,FALSE),"")</f>
        <v/>
      </c>
      <c r="F46" s="15"/>
      <c r="G46" s="15"/>
      <c r="H46" s="15"/>
      <c r="I46" s="15"/>
      <c r="J46" s="16"/>
      <c r="K46" s="10" t="str">
        <f t="shared" si="1"/>
        <v/>
      </c>
    </row>
    <row r="47" spans="1:11">
      <c r="A47" s="15"/>
      <c r="B47" s="18"/>
      <c r="C47" s="15"/>
      <c r="D47" s="15"/>
      <c r="E47" s="8" t="str">
        <f>IFERROR(VLOOKUP(D47,Products!$A$4:$B$103,2,FALSE),"")</f>
        <v/>
      </c>
      <c r="F47" s="15"/>
      <c r="G47" s="15"/>
      <c r="H47" s="15"/>
      <c r="I47" s="15"/>
      <c r="J47" s="16"/>
      <c r="K47" s="10" t="str">
        <f t="shared" si="1"/>
        <v/>
      </c>
    </row>
    <row r="48" spans="1:11">
      <c r="A48" s="15"/>
      <c r="B48" s="18"/>
      <c r="C48" s="15"/>
      <c r="D48" s="15"/>
      <c r="E48" s="8" t="str">
        <f>IFERROR(VLOOKUP(D48,Products!$A$4:$B$103,2,FALSE),"")</f>
        <v/>
      </c>
      <c r="F48" s="15"/>
      <c r="G48" s="15"/>
      <c r="H48" s="15"/>
      <c r="I48" s="15"/>
      <c r="J48" s="16"/>
      <c r="K48" s="10" t="str">
        <f t="shared" si="1"/>
        <v/>
      </c>
    </row>
    <row r="49" spans="1:11">
      <c r="A49" s="15"/>
      <c r="B49" s="18"/>
      <c r="C49" s="15"/>
      <c r="D49" s="15"/>
      <c r="E49" s="8" t="str">
        <f>IFERROR(VLOOKUP(D49,Products!$A$4:$B$103,2,FALSE),"")</f>
        <v/>
      </c>
      <c r="F49" s="15"/>
      <c r="G49" s="15"/>
      <c r="H49" s="15"/>
      <c r="I49" s="15"/>
      <c r="J49" s="16"/>
      <c r="K49" s="10" t="str">
        <f t="shared" si="1"/>
        <v/>
      </c>
    </row>
    <row r="50" spans="1:11">
      <c r="A50" s="15"/>
      <c r="B50" s="18"/>
      <c r="C50" s="15"/>
      <c r="D50" s="15"/>
      <c r="E50" s="8" t="str">
        <f>IFERROR(VLOOKUP(D50,Products!$A$4:$B$103,2,FALSE),"")</f>
        <v/>
      </c>
      <c r="F50" s="15"/>
      <c r="G50" s="15"/>
      <c r="H50" s="15"/>
      <c r="I50" s="15"/>
      <c r="J50" s="16"/>
      <c r="K50" s="10" t="str">
        <f t="shared" si="1"/>
        <v/>
      </c>
    </row>
    <row r="51" spans="1:11">
      <c r="A51" s="15"/>
      <c r="B51" s="18"/>
      <c r="C51" s="15"/>
      <c r="D51" s="15"/>
      <c r="E51" s="8" t="str">
        <f>IFERROR(VLOOKUP(D51,Products!$A$4:$B$103,2,FALSE),"")</f>
        <v/>
      </c>
      <c r="F51" s="15"/>
      <c r="G51" s="15"/>
      <c r="H51" s="15"/>
      <c r="I51" s="15"/>
      <c r="J51" s="16"/>
      <c r="K51" s="10" t="str">
        <f t="shared" si="1"/>
        <v/>
      </c>
    </row>
    <row r="52" spans="1:11">
      <c r="A52" s="15"/>
      <c r="B52" s="18"/>
      <c r="C52" s="15"/>
      <c r="D52" s="15"/>
      <c r="E52" s="8" t="str">
        <f>IFERROR(VLOOKUP(D52,Products!$A$4:$B$103,2,FALSE),"")</f>
        <v/>
      </c>
      <c r="F52" s="15"/>
      <c r="G52" s="15"/>
      <c r="H52" s="15"/>
      <c r="I52" s="15"/>
      <c r="J52" s="16"/>
      <c r="K52" s="10" t="str">
        <f t="shared" si="1"/>
        <v/>
      </c>
    </row>
    <row r="53" spans="1:11">
      <c r="A53" s="15"/>
      <c r="B53" s="18"/>
      <c r="C53" s="15"/>
      <c r="D53" s="15"/>
      <c r="E53" s="8" t="str">
        <f>IFERROR(VLOOKUP(D53,Products!$A$4:$B$103,2,FALSE),"")</f>
        <v/>
      </c>
      <c r="F53" s="15"/>
      <c r="G53" s="15"/>
      <c r="H53" s="15"/>
      <c r="I53" s="15"/>
      <c r="J53" s="16"/>
      <c r="K53" s="10" t="str">
        <f t="shared" si="1"/>
        <v/>
      </c>
    </row>
    <row r="54" spans="1:11">
      <c r="A54" s="15"/>
      <c r="B54" s="18"/>
      <c r="C54" s="15"/>
      <c r="D54" s="15"/>
      <c r="E54" s="8" t="str">
        <f>IFERROR(VLOOKUP(D54,Products!$A$4:$B$103,2,FALSE),"")</f>
        <v/>
      </c>
      <c r="F54" s="15"/>
      <c r="G54" s="15"/>
      <c r="H54" s="15"/>
      <c r="I54" s="15"/>
      <c r="J54" s="16"/>
      <c r="K54" s="10" t="str">
        <f t="shared" si="1"/>
        <v/>
      </c>
    </row>
    <row r="55" spans="1:11">
      <c r="A55" s="15"/>
      <c r="B55" s="18"/>
      <c r="C55" s="15"/>
      <c r="D55" s="15"/>
      <c r="E55" s="8" t="str">
        <f>IFERROR(VLOOKUP(D55,Products!$A$4:$B$103,2,FALSE),"")</f>
        <v/>
      </c>
      <c r="F55" s="15"/>
      <c r="G55" s="15"/>
      <c r="H55" s="15"/>
      <c r="I55" s="15"/>
      <c r="J55" s="16"/>
      <c r="K55" s="10" t="str">
        <f t="shared" si="1"/>
        <v/>
      </c>
    </row>
    <row r="56" spans="1:11">
      <c r="A56" s="15"/>
      <c r="B56" s="18"/>
      <c r="C56" s="15"/>
      <c r="D56" s="15"/>
      <c r="E56" s="8" t="str">
        <f>IFERROR(VLOOKUP(D56,Products!$A$4:$B$103,2,FALSE),"")</f>
        <v/>
      </c>
      <c r="F56" s="15"/>
      <c r="G56" s="15"/>
      <c r="H56" s="15"/>
      <c r="I56" s="15"/>
      <c r="J56" s="16"/>
      <c r="K56" s="10" t="str">
        <f t="shared" si="1"/>
        <v/>
      </c>
    </row>
    <row r="57" spans="1:11">
      <c r="A57" s="15"/>
      <c r="B57" s="18"/>
      <c r="C57" s="15"/>
      <c r="D57" s="15"/>
      <c r="E57" s="8" t="str">
        <f>IFERROR(VLOOKUP(D57,Products!$A$4:$B$103,2,FALSE),"")</f>
        <v/>
      </c>
      <c r="F57" s="15"/>
      <c r="G57" s="15"/>
      <c r="H57" s="15"/>
      <c r="I57" s="15"/>
      <c r="J57" s="16"/>
      <c r="K57" s="10" t="str">
        <f t="shared" si="1"/>
        <v/>
      </c>
    </row>
    <row r="58" spans="1:11">
      <c r="A58" s="15"/>
      <c r="B58" s="18"/>
      <c r="C58" s="15"/>
      <c r="D58" s="15"/>
      <c r="E58" s="8" t="str">
        <f>IFERROR(VLOOKUP(D58,Products!$A$4:$B$103,2,FALSE),"")</f>
        <v/>
      </c>
      <c r="F58" s="15"/>
      <c r="G58" s="15"/>
      <c r="H58" s="15"/>
      <c r="I58" s="15"/>
      <c r="J58" s="16"/>
      <c r="K58" s="10" t="str">
        <f t="shared" si="1"/>
        <v/>
      </c>
    </row>
    <row r="59" spans="1:11">
      <c r="A59" s="15"/>
      <c r="B59" s="18"/>
      <c r="C59" s="15"/>
      <c r="D59" s="15"/>
      <c r="E59" s="8" t="str">
        <f>IFERROR(VLOOKUP(D59,Products!$A$4:$B$103,2,FALSE),"")</f>
        <v/>
      </c>
      <c r="F59" s="15"/>
      <c r="G59" s="15"/>
      <c r="H59" s="15"/>
      <c r="I59" s="15"/>
      <c r="J59" s="16"/>
      <c r="K59" s="10" t="str">
        <f t="shared" si="1"/>
        <v/>
      </c>
    </row>
    <row r="60" spans="1:11">
      <c r="A60" s="15"/>
      <c r="B60" s="18"/>
      <c r="C60" s="15"/>
      <c r="D60" s="15"/>
      <c r="E60" s="8" t="str">
        <f>IFERROR(VLOOKUP(D60,Products!$A$4:$B$103,2,FALSE),"")</f>
        <v/>
      </c>
      <c r="F60" s="15"/>
      <c r="G60" s="15"/>
      <c r="H60" s="15"/>
      <c r="I60" s="15"/>
      <c r="J60" s="16"/>
      <c r="K60" s="10" t="str">
        <f t="shared" si="1"/>
        <v/>
      </c>
    </row>
    <row r="61" spans="1:11">
      <c r="A61" s="15"/>
      <c r="B61" s="18"/>
      <c r="C61" s="15"/>
      <c r="D61" s="15"/>
      <c r="E61" s="8" t="str">
        <f>IFERROR(VLOOKUP(D61,Products!$A$4:$B$103,2,FALSE),"")</f>
        <v/>
      </c>
      <c r="F61" s="15"/>
      <c r="G61" s="15"/>
      <c r="H61" s="15"/>
      <c r="I61" s="15"/>
      <c r="J61" s="16"/>
      <c r="K61" s="10" t="str">
        <f t="shared" si="1"/>
        <v/>
      </c>
    </row>
    <row r="62" spans="1:11">
      <c r="A62" s="15"/>
      <c r="B62" s="18"/>
      <c r="C62" s="15"/>
      <c r="D62" s="15"/>
      <c r="E62" s="8" t="str">
        <f>IFERROR(VLOOKUP(D62,Products!$A$4:$B$103,2,FALSE),"")</f>
        <v/>
      </c>
      <c r="F62" s="15"/>
      <c r="G62" s="15"/>
      <c r="H62" s="15"/>
      <c r="I62" s="15"/>
      <c r="J62" s="16"/>
      <c r="K62" s="10" t="str">
        <f t="shared" si="1"/>
        <v/>
      </c>
    </row>
    <row r="63" spans="1:11">
      <c r="A63" s="15"/>
      <c r="B63" s="18"/>
      <c r="C63" s="15"/>
      <c r="D63" s="15"/>
      <c r="E63" s="8" t="str">
        <f>IFERROR(VLOOKUP(D63,Products!$A$4:$B$103,2,FALSE),"")</f>
        <v/>
      </c>
      <c r="F63" s="15"/>
      <c r="G63" s="15"/>
      <c r="H63" s="15"/>
      <c r="I63" s="15"/>
      <c r="J63" s="16"/>
      <c r="K63" s="10" t="str">
        <f t="shared" si="1"/>
        <v/>
      </c>
    </row>
    <row r="64" spans="1:11">
      <c r="A64" s="15"/>
      <c r="B64" s="18"/>
      <c r="C64" s="15"/>
      <c r="D64" s="15"/>
      <c r="E64" s="8" t="str">
        <f>IFERROR(VLOOKUP(D64,Products!$A$4:$B$103,2,FALSE),"")</f>
        <v/>
      </c>
      <c r="F64" s="15"/>
      <c r="G64" s="15"/>
      <c r="H64" s="15"/>
      <c r="I64" s="15"/>
      <c r="J64" s="16"/>
      <c r="K64" s="10" t="str">
        <f t="shared" si="1"/>
        <v/>
      </c>
    </row>
    <row r="65" spans="1:11">
      <c r="A65" s="15"/>
      <c r="B65" s="18"/>
      <c r="C65" s="15"/>
      <c r="D65" s="15"/>
      <c r="E65" s="8" t="str">
        <f>IFERROR(VLOOKUP(D65,Products!$A$4:$B$103,2,FALSE),"")</f>
        <v/>
      </c>
      <c r="F65" s="15"/>
      <c r="G65" s="15"/>
      <c r="H65" s="15"/>
      <c r="I65" s="15"/>
      <c r="J65" s="16"/>
      <c r="K65" s="10" t="str">
        <f t="shared" si="1"/>
        <v/>
      </c>
    </row>
    <row r="66" spans="1:11">
      <c r="A66" s="15"/>
      <c r="B66" s="18"/>
      <c r="C66" s="15"/>
      <c r="D66" s="15"/>
      <c r="E66" s="8" t="str">
        <f>IFERROR(VLOOKUP(D66,Products!$A$4:$B$103,2,FALSE),"")</f>
        <v/>
      </c>
      <c r="F66" s="15"/>
      <c r="G66" s="15"/>
      <c r="H66" s="15"/>
      <c r="I66" s="15"/>
      <c r="J66" s="16"/>
      <c r="K66" s="10" t="str">
        <f t="shared" si="1"/>
        <v/>
      </c>
    </row>
    <row r="67" spans="1:11">
      <c r="A67" s="15"/>
      <c r="B67" s="18"/>
      <c r="C67" s="15"/>
      <c r="D67" s="15"/>
      <c r="E67" s="8" t="str">
        <f>IFERROR(VLOOKUP(D67,Products!$A$4:$B$103,2,FALSE),"")</f>
        <v/>
      </c>
      <c r="F67" s="15"/>
      <c r="G67" s="15"/>
      <c r="H67" s="15"/>
      <c r="I67" s="15"/>
      <c r="J67" s="16"/>
      <c r="K67" s="10" t="str">
        <f t="shared" si="1"/>
        <v/>
      </c>
    </row>
    <row r="68" spans="1:11">
      <c r="A68" s="15"/>
      <c r="B68" s="18"/>
      <c r="C68" s="15"/>
      <c r="D68" s="15"/>
      <c r="E68" s="8" t="str">
        <f>IFERROR(VLOOKUP(D68,Products!$A$4:$B$103,2,FALSE),"")</f>
        <v/>
      </c>
      <c r="F68" s="15"/>
      <c r="G68" s="15"/>
      <c r="H68" s="15"/>
      <c r="I68" s="15"/>
      <c r="J68" s="16"/>
      <c r="K68" s="10" t="str">
        <f t="shared" ref="K68:K99" si="2">IF(OR(F68="",J68=""),"",F68*J68)</f>
        <v/>
      </c>
    </row>
    <row r="69" spans="1:11">
      <c r="A69" s="15"/>
      <c r="B69" s="18"/>
      <c r="C69" s="15"/>
      <c r="D69" s="15"/>
      <c r="E69" s="8" t="str">
        <f>IFERROR(VLOOKUP(D69,Products!$A$4:$B$103,2,FALSE),"")</f>
        <v/>
      </c>
      <c r="F69" s="15"/>
      <c r="G69" s="15"/>
      <c r="H69" s="15"/>
      <c r="I69" s="15"/>
      <c r="J69" s="16"/>
      <c r="K69" s="10" t="str">
        <f t="shared" si="2"/>
        <v/>
      </c>
    </row>
    <row r="70" spans="1:11">
      <c r="A70" s="15"/>
      <c r="B70" s="18"/>
      <c r="C70" s="15"/>
      <c r="D70" s="15"/>
      <c r="E70" s="8" t="str">
        <f>IFERROR(VLOOKUP(D70,Products!$A$4:$B$103,2,FALSE),"")</f>
        <v/>
      </c>
      <c r="F70" s="15"/>
      <c r="G70" s="15"/>
      <c r="H70" s="15"/>
      <c r="I70" s="15"/>
      <c r="J70" s="16"/>
      <c r="K70" s="10" t="str">
        <f t="shared" si="2"/>
        <v/>
      </c>
    </row>
    <row r="71" spans="1:11">
      <c r="A71" s="15"/>
      <c r="B71" s="18"/>
      <c r="C71" s="15"/>
      <c r="D71" s="15"/>
      <c r="E71" s="8" t="str">
        <f>IFERROR(VLOOKUP(D71,Products!$A$4:$B$103,2,FALSE),"")</f>
        <v/>
      </c>
      <c r="F71" s="15"/>
      <c r="G71" s="15"/>
      <c r="H71" s="15"/>
      <c r="I71" s="15"/>
      <c r="J71" s="16"/>
      <c r="K71" s="10" t="str">
        <f t="shared" si="2"/>
        <v/>
      </c>
    </row>
    <row r="72" spans="1:11">
      <c r="A72" s="15"/>
      <c r="B72" s="18"/>
      <c r="C72" s="15"/>
      <c r="D72" s="15"/>
      <c r="E72" s="8" t="str">
        <f>IFERROR(VLOOKUP(D72,Products!$A$4:$B$103,2,FALSE),"")</f>
        <v/>
      </c>
      <c r="F72" s="15"/>
      <c r="G72" s="15"/>
      <c r="H72" s="15"/>
      <c r="I72" s="15"/>
      <c r="J72" s="16"/>
      <c r="K72" s="10" t="str">
        <f t="shared" si="2"/>
        <v/>
      </c>
    </row>
    <row r="73" spans="1:11">
      <c r="A73" s="15"/>
      <c r="B73" s="18"/>
      <c r="C73" s="15"/>
      <c r="D73" s="15"/>
      <c r="E73" s="8" t="str">
        <f>IFERROR(VLOOKUP(D73,Products!$A$4:$B$103,2,FALSE),"")</f>
        <v/>
      </c>
      <c r="F73" s="15"/>
      <c r="G73" s="15"/>
      <c r="H73" s="15"/>
      <c r="I73" s="15"/>
      <c r="J73" s="16"/>
      <c r="K73" s="10" t="str">
        <f t="shared" si="2"/>
        <v/>
      </c>
    </row>
    <row r="74" spans="1:11">
      <c r="A74" s="15"/>
      <c r="B74" s="18"/>
      <c r="C74" s="15"/>
      <c r="D74" s="15"/>
      <c r="E74" s="8" t="str">
        <f>IFERROR(VLOOKUP(D74,Products!$A$4:$B$103,2,FALSE),"")</f>
        <v/>
      </c>
      <c r="F74" s="15"/>
      <c r="G74" s="15"/>
      <c r="H74" s="15"/>
      <c r="I74" s="15"/>
      <c r="J74" s="16"/>
      <c r="K74" s="10" t="str">
        <f t="shared" si="2"/>
        <v/>
      </c>
    </row>
    <row r="75" spans="1:11">
      <c r="A75" s="15"/>
      <c r="B75" s="18"/>
      <c r="C75" s="15"/>
      <c r="D75" s="15"/>
      <c r="E75" s="8" t="str">
        <f>IFERROR(VLOOKUP(D75,Products!$A$4:$B$103,2,FALSE),"")</f>
        <v/>
      </c>
      <c r="F75" s="15"/>
      <c r="G75" s="15"/>
      <c r="H75" s="15"/>
      <c r="I75" s="15"/>
      <c r="J75" s="16"/>
      <c r="K75" s="10" t="str">
        <f t="shared" si="2"/>
        <v/>
      </c>
    </row>
    <row r="76" spans="1:11">
      <c r="A76" s="15"/>
      <c r="B76" s="18"/>
      <c r="C76" s="15"/>
      <c r="D76" s="15"/>
      <c r="E76" s="8" t="str">
        <f>IFERROR(VLOOKUP(D76,Products!$A$4:$B$103,2,FALSE),"")</f>
        <v/>
      </c>
      <c r="F76" s="15"/>
      <c r="G76" s="15"/>
      <c r="H76" s="15"/>
      <c r="I76" s="15"/>
      <c r="J76" s="16"/>
      <c r="K76" s="10" t="str">
        <f t="shared" si="2"/>
        <v/>
      </c>
    </row>
    <row r="77" spans="1:11">
      <c r="A77" s="15"/>
      <c r="B77" s="18"/>
      <c r="C77" s="15"/>
      <c r="D77" s="15"/>
      <c r="E77" s="8" t="str">
        <f>IFERROR(VLOOKUP(D77,Products!$A$4:$B$103,2,FALSE),"")</f>
        <v/>
      </c>
      <c r="F77" s="15"/>
      <c r="G77" s="15"/>
      <c r="H77" s="15"/>
      <c r="I77" s="15"/>
      <c r="J77" s="16"/>
      <c r="K77" s="10" t="str">
        <f t="shared" si="2"/>
        <v/>
      </c>
    </row>
    <row r="78" spans="1:11">
      <c r="A78" s="15"/>
      <c r="B78" s="18"/>
      <c r="C78" s="15"/>
      <c r="D78" s="15"/>
      <c r="E78" s="8" t="str">
        <f>IFERROR(VLOOKUP(D78,Products!$A$4:$B$103,2,FALSE),"")</f>
        <v/>
      </c>
      <c r="F78" s="15"/>
      <c r="G78" s="15"/>
      <c r="H78" s="15"/>
      <c r="I78" s="15"/>
      <c r="J78" s="16"/>
      <c r="K78" s="10" t="str">
        <f t="shared" si="2"/>
        <v/>
      </c>
    </row>
    <row r="79" spans="1:11">
      <c r="A79" s="15"/>
      <c r="B79" s="18"/>
      <c r="C79" s="15"/>
      <c r="D79" s="15"/>
      <c r="E79" s="8" t="str">
        <f>IFERROR(VLOOKUP(D79,Products!$A$4:$B$103,2,FALSE),"")</f>
        <v/>
      </c>
      <c r="F79" s="15"/>
      <c r="G79" s="15"/>
      <c r="H79" s="15"/>
      <c r="I79" s="15"/>
      <c r="J79" s="16"/>
      <c r="K79" s="10" t="str">
        <f t="shared" si="2"/>
        <v/>
      </c>
    </row>
    <row r="80" spans="1:11">
      <c r="A80" s="15"/>
      <c r="B80" s="18"/>
      <c r="C80" s="15"/>
      <c r="D80" s="15"/>
      <c r="E80" s="8" t="str">
        <f>IFERROR(VLOOKUP(D80,Products!$A$4:$B$103,2,FALSE),"")</f>
        <v/>
      </c>
      <c r="F80" s="15"/>
      <c r="G80" s="15"/>
      <c r="H80" s="15"/>
      <c r="I80" s="15"/>
      <c r="J80" s="16"/>
      <c r="K80" s="10" t="str">
        <f t="shared" si="2"/>
        <v/>
      </c>
    </row>
    <row r="81" spans="1:11">
      <c r="A81" s="15"/>
      <c r="B81" s="18"/>
      <c r="C81" s="15"/>
      <c r="D81" s="15"/>
      <c r="E81" s="8" t="str">
        <f>IFERROR(VLOOKUP(D81,Products!$A$4:$B$103,2,FALSE),"")</f>
        <v/>
      </c>
      <c r="F81" s="15"/>
      <c r="G81" s="15"/>
      <c r="H81" s="15"/>
      <c r="I81" s="15"/>
      <c r="J81" s="16"/>
      <c r="K81" s="10" t="str">
        <f t="shared" si="2"/>
        <v/>
      </c>
    </row>
    <row r="82" spans="1:11">
      <c r="A82" s="15"/>
      <c r="B82" s="18"/>
      <c r="C82" s="15"/>
      <c r="D82" s="15"/>
      <c r="E82" s="8" t="str">
        <f>IFERROR(VLOOKUP(D82,Products!$A$4:$B$103,2,FALSE),"")</f>
        <v/>
      </c>
      <c r="F82" s="15"/>
      <c r="G82" s="15"/>
      <c r="H82" s="15"/>
      <c r="I82" s="15"/>
      <c r="J82" s="16"/>
      <c r="K82" s="10" t="str">
        <f t="shared" si="2"/>
        <v/>
      </c>
    </row>
    <row r="83" spans="1:11">
      <c r="A83" s="15"/>
      <c r="B83" s="18"/>
      <c r="C83" s="15"/>
      <c r="D83" s="15"/>
      <c r="E83" s="8" t="str">
        <f>IFERROR(VLOOKUP(D83,Products!$A$4:$B$103,2,FALSE),"")</f>
        <v/>
      </c>
      <c r="F83" s="15"/>
      <c r="G83" s="15"/>
      <c r="H83" s="15"/>
      <c r="I83" s="15"/>
      <c r="J83" s="16"/>
      <c r="K83" s="10" t="str">
        <f t="shared" si="2"/>
        <v/>
      </c>
    </row>
    <row r="84" spans="1:11">
      <c r="A84" s="15"/>
      <c r="B84" s="18"/>
      <c r="C84" s="15"/>
      <c r="D84" s="15"/>
      <c r="E84" s="8" t="str">
        <f>IFERROR(VLOOKUP(D84,Products!$A$4:$B$103,2,FALSE),"")</f>
        <v/>
      </c>
      <c r="F84" s="15"/>
      <c r="G84" s="15"/>
      <c r="H84" s="15"/>
      <c r="I84" s="15"/>
      <c r="J84" s="16"/>
      <c r="K84" s="10" t="str">
        <f t="shared" si="2"/>
        <v/>
      </c>
    </row>
    <row r="85" spans="1:11">
      <c r="A85" s="15"/>
      <c r="B85" s="18"/>
      <c r="C85" s="15"/>
      <c r="D85" s="15"/>
      <c r="E85" s="8" t="str">
        <f>IFERROR(VLOOKUP(D85,Products!$A$4:$B$103,2,FALSE),"")</f>
        <v/>
      </c>
      <c r="F85" s="15"/>
      <c r="G85" s="15"/>
      <c r="H85" s="15"/>
      <c r="I85" s="15"/>
      <c r="J85" s="16"/>
      <c r="K85" s="10" t="str">
        <f t="shared" si="2"/>
        <v/>
      </c>
    </row>
    <row r="86" spans="1:11">
      <c r="A86" s="15"/>
      <c r="B86" s="18"/>
      <c r="C86" s="15"/>
      <c r="D86" s="15"/>
      <c r="E86" s="8" t="str">
        <f>IFERROR(VLOOKUP(D86,Products!$A$4:$B$103,2,FALSE),"")</f>
        <v/>
      </c>
      <c r="F86" s="15"/>
      <c r="G86" s="15"/>
      <c r="H86" s="15"/>
      <c r="I86" s="15"/>
      <c r="J86" s="16"/>
      <c r="K86" s="10" t="str">
        <f t="shared" si="2"/>
        <v/>
      </c>
    </row>
    <row r="87" spans="1:11">
      <c r="A87" s="15"/>
      <c r="B87" s="18"/>
      <c r="C87" s="15"/>
      <c r="D87" s="15"/>
      <c r="E87" s="8" t="str">
        <f>IFERROR(VLOOKUP(D87,Products!$A$4:$B$103,2,FALSE),"")</f>
        <v/>
      </c>
      <c r="F87" s="15"/>
      <c r="G87" s="15"/>
      <c r="H87" s="15"/>
      <c r="I87" s="15"/>
      <c r="J87" s="16"/>
      <c r="K87" s="10" t="str">
        <f t="shared" si="2"/>
        <v/>
      </c>
    </row>
    <row r="88" spans="1:11">
      <c r="A88" s="15"/>
      <c r="B88" s="18"/>
      <c r="C88" s="15"/>
      <c r="D88" s="15"/>
      <c r="E88" s="8" t="str">
        <f>IFERROR(VLOOKUP(D88,Products!$A$4:$B$103,2,FALSE),"")</f>
        <v/>
      </c>
      <c r="F88" s="15"/>
      <c r="G88" s="15"/>
      <c r="H88" s="15"/>
      <c r="I88" s="15"/>
      <c r="J88" s="16"/>
      <c r="K88" s="10" t="str">
        <f t="shared" si="2"/>
        <v/>
      </c>
    </row>
    <row r="89" spans="1:11">
      <c r="A89" s="15"/>
      <c r="B89" s="18"/>
      <c r="C89" s="15"/>
      <c r="D89" s="15"/>
      <c r="E89" s="8" t="str">
        <f>IFERROR(VLOOKUP(D89,Products!$A$4:$B$103,2,FALSE),"")</f>
        <v/>
      </c>
      <c r="F89" s="15"/>
      <c r="G89" s="15"/>
      <c r="H89" s="15"/>
      <c r="I89" s="15"/>
      <c r="J89" s="16"/>
      <c r="K89" s="10" t="str">
        <f t="shared" si="2"/>
        <v/>
      </c>
    </row>
    <row r="90" spans="1:11">
      <c r="A90" s="15"/>
      <c r="B90" s="18"/>
      <c r="C90" s="15"/>
      <c r="D90" s="15"/>
      <c r="E90" s="8" t="str">
        <f>IFERROR(VLOOKUP(D90,Products!$A$4:$B$103,2,FALSE),"")</f>
        <v/>
      </c>
      <c r="F90" s="15"/>
      <c r="G90" s="15"/>
      <c r="H90" s="15"/>
      <c r="I90" s="15"/>
      <c r="J90" s="16"/>
      <c r="K90" s="10" t="str">
        <f t="shared" si="2"/>
        <v/>
      </c>
    </row>
    <row r="91" spans="1:11">
      <c r="A91" s="15"/>
      <c r="B91" s="18"/>
      <c r="C91" s="15"/>
      <c r="D91" s="15"/>
      <c r="E91" s="8" t="str">
        <f>IFERROR(VLOOKUP(D91,Products!$A$4:$B$103,2,FALSE),"")</f>
        <v/>
      </c>
      <c r="F91" s="15"/>
      <c r="G91" s="15"/>
      <c r="H91" s="15"/>
      <c r="I91" s="15"/>
      <c r="J91" s="16"/>
      <c r="K91" s="10" t="str">
        <f t="shared" si="2"/>
        <v/>
      </c>
    </row>
    <row r="92" spans="1:11">
      <c r="A92" s="15"/>
      <c r="B92" s="18"/>
      <c r="C92" s="15"/>
      <c r="D92" s="15"/>
      <c r="E92" s="8" t="str">
        <f>IFERROR(VLOOKUP(D92,Products!$A$4:$B$103,2,FALSE),"")</f>
        <v/>
      </c>
      <c r="F92" s="15"/>
      <c r="G92" s="15"/>
      <c r="H92" s="15"/>
      <c r="I92" s="15"/>
      <c r="J92" s="16"/>
      <c r="K92" s="10" t="str">
        <f t="shared" si="2"/>
        <v/>
      </c>
    </row>
    <row r="93" spans="1:11">
      <c r="A93" s="15"/>
      <c r="B93" s="18"/>
      <c r="C93" s="15"/>
      <c r="D93" s="15"/>
      <c r="E93" s="8" t="str">
        <f>IFERROR(VLOOKUP(D93,Products!$A$4:$B$103,2,FALSE),"")</f>
        <v/>
      </c>
      <c r="F93" s="15"/>
      <c r="G93" s="15"/>
      <c r="H93" s="15"/>
      <c r="I93" s="15"/>
      <c r="J93" s="16"/>
      <c r="K93" s="10" t="str">
        <f t="shared" si="2"/>
        <v/>
      </c>
    </row>
    <row r="94" spans="1:11">
      <c r="A94" s="15"/>
      <c r="B94" s="18"/>
      <c r="C94" s="15"/>
      <c r="D94" s="15"/>
      <c r="E94" s="8" t="str">
        <f>IFERROR(VLOOKUP(D94,Products!$A$4:$B$103,2,FALSE),"")</f>
        <v/>
      </c>
      <c r="F94" s="15"/>
      <c r="G94" s="15"/>
      <c r="H94" s="15"/>
      <c r="I94" s="15"/>
      <c r="J94" s="16"/>
      <c r="K94" s="10" t="str">
        <f t="shared" si="2"/>
        <v/>
      </c>
    </row>
    <row r="95" spans="1:11">
      <c r="A95" s="15"/>
      <c r="B95" s="18"/>
      <c r="C95" s="15"/>
      <c r="D95" s="15"/>
      <c r="E95" s="8" t="str">
        <f>IFERROR(VLOOKUP(D95,Products!$A$4:$B$103,2,FALSE),"")</f>
        <v/>
      </c>
      <c r="F95" s="15"/>
      <c r="G95" s="15"/>
      <c r="H95" s="15"/>
      <c r="I95" s="15"/>
      <c r="J95" s="16"/>
      <c r="K95" s="10" t="str">
        <f t="shared" si="2"/>
        <v/>
      </c>
    </row>
    <row r="96" spans="1:11">
      <c r="A96" s="15"/>
      <c r="B96" s="18"/>
      <c r="C96" s="15"/>
      <c r="D96" s="15"/>
      <c r="E96" s="8" t="str">
        <f>IFERROR(VLOOKUP(D96,Products!$A$4:$B$103,2,FALSE),"")</f>
        <v/>
      </c>
      <c r="F96" s="15"/>
      <c r="G96" s="15"/>
      <c r="H96" s="15"/>
      <c r="I96" s="15"/>
      <c r="J96" s="16"/>
      <c r="K96" s="10" t="str">
        <f t="shared" si="2"/>
        <v/>
      </c>
    </row>
    <row r="97" spans="1:11">
      <c r="A97" s="15"/>
      <c r="B97" s="18"/>
      <c r="C97" s="15"/>
      <c r="D97" s="15"/>
      <c r="E97" s="8" t="str">
        <f>IFERROR(VLOOKUP(D97,Products!$A$4:$B$103,2,FALSE),"")</f>
        <v/>
      </c>
      <c r="F97" s="15"/>
      <c r="G97" s="15"/>
      <c r="H97" s="15"/>
      <c r="I97" s="15"/>
      <c r="J97" s="16"/>
      <c r="K97" s="10" t="str">
        <f t="shared" si="2"/>
        <v/>
      </c>
    </row>
    <row r="98" spans="1:11">
      <c r="A98" s="15"/>
      <c r="B98" s="18"/>
      <c r="C98" s="15"/>
      <c r="D98" s="15"/>
      <c r="E98" s="8" t="str">
        <f>IFERROR(VLOOKUP(D98,Products!$A$4:$B$103,2,FALSE),"")</f>
        <v/>
      </c>
      <c r="F98" s="15"/>
      <c r="G98" s="15"/>
      <c r="H98" s="15"/>
      <c r="I98" s="15"/>
      <c r="J98" s="16"/>
      <c r="K98" s="10" t="str">
        <f t="shared" si="2"/>
        <v/>
      </c>
    </row>
    <row r="99" spans="1:11">
      <c r="A99" s="15"/>
      <c r="B99" s="18"/>
      <c r="C99" s="15"/>
      <c r="D99" s="15"/>
      <c r="E99" s="8" t="str">
        <f>IFERROR(VLOOKUP(D99,Products!$A$4:$B$103,2,FALSE),"")</f>
        <v/>
      </c>
      <c r="F99" s="15"/>
      <c r="G99" s="15"/>
      <c r="H99" s="15"/>
      <c r="I99" s="15"/>
      <c r="J99" s="16"/>
      <c r="K99" s="10" t="str">
        <f t="shared" si="2"/>
        <v/>
      </c>
    </row>
    <row r="100" spans="1:11">
      <c r="A100" s="15"/>
      <c r="B100" s="18"/>
      <c r="C100" s="15"/>
      <c r="D100" s="15"/>
      <c r="E100" s="8" t="str">
        <f>IFERROR(VLOOKUP(D100,Products!$A$4:$B$103,2,FALSE),"")</f>
        <v/>
      </c>
      <c r="F100" s="15"/>
      <c r="G100" s="15"/>
      <c r="H100" s="15"/>
      <c r="I100" s="15"/>
      <c r="J100" s="16"/>
      <c r="K100" s="10" t="str">
        <f t="shared" ref="K100:K131" si="3">IF(OR(F100="",J100=""),"",F100*J100)</f>
        <v/>
      </c>
    </row>
    <row r="101" spans="1:11">
      <c r="A101" s="15"/>
      <c r="B101" s="18"/>
      <c r="C101" s="15"/>
      <c r="D101" s="15"/>
      <c r="E101" s="8" t="str">
        <f>IFERROR(VLOOKUP(D101,Products!$A$4:$B$103,2,FALSE),"")</f>
        <v/>
      </c>
      <c r="F101" s="15"/>
      <c r="G101" s="15"/>
      <c r="H101" s="15"/>
      <c r="I101" s="15"/>
      <c r="J101" s="16"/>
      <c r="K101" s="10" t="str">
        <f t="shared" si="3"/>
        <v/>
      </c>
    </row>
    <row r="102" spans="1:11">
      <c r="A102" s="15"/>
      <c r="B102" s="18"/>
      <c r="C102" s="15"/>
      <c r="D102" s="15"/>
      <c r="E102" s="8" t="str">
        <f>IFERROR(VLOOKUP(D102,Products!$A$4:$B$103,2,FALSE),"")</f>
        <v/>
      </c>
      <c r="F102" s="15"/>
      <c r="G102" s="15"/>
      <c r="H102" s="15"/>
      <c r="I102" s="15"/>
      <c r="J102" s="16"/>
      <c r="K102" s="10" t="str">
        <f t="shared" si="3"/>
        <v/>
      </c>
    </row>
    <row r="103" spans="1:11">
      <c r="A103" s="15"/>
      <c r="B103" s="18"/>
      <c r="C103" s="15"/>
      <c r="D103" s="15"/>
      <c r="E103" s="8" t="str">
        <f>IFERROR(VLOOKUP(D103,Products!$A$4:$B$103,2,FALSE),"")</f>
        <v/>
      </c>
      <c r="F103" s="15"/>
      <c r="G103" s="15"/>
      <c r="H103" s="15"/>
      <c r="I103" s="15"/>
      <c r="J103" s="16"/>
      <c r="K103" s="10" t="str">
        <f t="shared" si="3"/>
        <v/>
      </c>
    </row>
    <row r="104" spans="1:11">
      <c r="A104" s="15"/>
      <c r="B104" s="18"/>
      <c r="C104" s="15"/>
      <c r="D104" s="15"/>
      <c r="E104" s="8" t="str">
        <f>IFERROR(VLOOKUP(D104,Products!$A$4:$B$103,2,FALSE),"")</f>
        <v/>
      </c>
      <c r="F104" s="15"/>
      <c r="G104" s="15"/>
      <c r="H104" s="15"/>
      <c r="I104" s="15"/>
      <c r="J104" s="16"/>
      <c r="K104" s="10" t="str">
        <f t="shared" si="3"/>
        <v/>
      </c>
    </row>
    <row r="105" spans="1:11">
      <c r="A105" s="15"/>
      <c r="B105" s="18"/>
      <c r="C105" s="15"/>
      <c r="D105" s="15"/>
      <c r="E105" s="8" t="str">
        <f>IFERROR(VLOOKUP(D105,Products!$A$4:$B$103,2,FALSE),"")</f>
        <v/>
      </c>
      <c r="F105" s="15"/>
      <c r="G105" s="15"/>
      <c r="H105" s="15"/>
      <c r="I105" s="15"/>
      <c r="J105" s="16"/>
      <c r="K105" s="10" t="str">
        <f t="shared" si="3"/>
        <v/>
      </c>
    </row>
    <row r="106" spans="1:11">
      <c r="A106" s="15"/>
      <c r="B106" s="18"/>
      <c r="C106" s="15"/>
      <c r="D106" s="15"/>
      <c r="E106" s="8" t="str">
        <f>IFERROR(VLOOKUP(D106,Products!$A$4:$B$103,2,FALSE),"")</f>
        <v/>
      </c>
      <c r="F106" s="15"/>
      <c r="G106" s="15"/>
      <c r="H106" s="15"/>
      <c r="I106" s="15"/>
      <c r="J106" s="16"/>
      <c r="K106" s="10" t="str">
        <f t="shared" si="3"/>
        <v/>
      </c>
    </row>
    <row r="107" spans="1:11">
      <c r="A107" s="15"/>
      <c r="B107" s="18"/>
      <c r="C107" s="15"/>
      <c r="D107" s="15"/>
      <c r="E107" s="8" t="str">
        <f>IFERROR(VLOOKUP(D107,Products!$A$4:$B$103,2,FALSE),"")</f>
        <v/>
      </c>
      <c r="F107" s="15"/>
      <c r="G107" s="15"/>
      <c r="H107" s="15"/>
      <c r="I107" s="15"/>
      <c r="J107" s="16"/>
      <c r="K107" s="10" t="str">
        <f t="shared" si="3"/>
        <v/>
      </c>
    </row>
    <row r="108" spans="1:11">
      <c r="A108" s="15"/>
      <c r="B108" s="18"/>
      <c r="C108" s="15"/>
      <c r="D108" s="15"/>
      <c r="E108" s="8" t="str">
        <f>IFERROR(VLOOKUP(D108,Products!$A$4:$B$103,2,FALSE),"")</f>
        <v/>
      </c>
      <c r="F108" s="15"/>
      <c r="G108" s="15"/>
      <c r="H108" s="15"/>
      <c r="I108" s="15"/>
      <c r="J108" s="16"/>
      <c r="K108" s="10" t="str">
        <f t="shared" si="3"/>
        <v/>
      </c>
    </row>
    <row r="109" spans="1:11">
      <c r="A109" s="15"/>
      <c r="B109" s="18"/>
      <c r="C109" s="15"/>
      <c r="D109" s="15"/>
      <c r="E109" s="8" t="str">
        <f>IFERROR(VLOOKUP(D109,Products!$A$4:$B$103,2,FALSE),"")</f>
        <v/>
      </c>
      <c r="F109" s="15"/>
      <c r="G109" s="15"/>
      <c r="H109" s="15"/>
      <c r="I109" s="15"/>
      <c r="J109" s="16"/>
      <c r="K109" s="10" t="str">
        <f t="shared" si="3"/>
        <v/>
      </c>
    </row>
    <row r="110" spans="1:11">
      <c r="A110" s="15"/>
      <c r="B110" s="18"/>
      <c r="C110" s="15"/>
      <c r="D110" s="15"/>
      <c r="E110" s="8" t="str">
        <f>IFERROR(VLOOKUP(D110,Products!$A$4:$B$103,2,FALSE),"")</f>
        <v/>
      </c>
      <c r="F110" s="15"/>
      <c r="G110" s="15"/>
      <c r="H110" s="15"/>
      <c r="I110" s="15"/>
      <c r="J110" s="16"/>
      <c r="K110" s="10" t="str">
        <f t="shared" si="3"/>
        <v/>
      </c>
    </row>
    <row r="111" spans="1:11">
      <c r="A111" s="15"/>
      <c r="B111" s="18"/>
      <c r="C111" s="15"/>
      <c r="D111" s="15"/>
      <c r="E111" s="8" t="str">
        <f>IFERROR(VLOOKUP(D111,Products!$A$4:$B$103,2,FALSE),"")</f>
        <v/>
      </c>
      <c r="F111" s="15"/>
      <c r="G111" s="15"/>
      <c r="H111" s="15"/>
      <c r="I111" s="15"/>
      <c r="J111" s="16"/>
      <c r="K111" s="10" t="str">
        <f t="shared" si="3"/>
        <v/>
      </c>
    </row>
    <row r="112" spans="1:11">
      <c r="A112" s="15"/>
      <c r="B112" s="18"/>
      <c r="C112" s="15"/>
      <c r="D112" s="15"/>
      <c r="E112" s="8" t="str">
        <f>IFERROR(VLOOKUP(D112,Products!$A$4:$B$103,2,FALSE),"")</f>
        <v/>
      </c>
      <c r="F112" s="15"/>
      <c r="G112" s="15"/>
      <c r="H112" s="15"/>
      <c r="I112" s="15"/>
      <c r="J112" s="16"/>
      <c r="K112" s="10" t="str">
        <f t="shared" si="3"/>
        <v/>
      </c>
    </row>
    <row r="113" spans="1:11">
      <c r="A113" s="15"/>
      <c r="B113" s="18"/>
      <c r="C113" s="15"/>
      <c r="D113" s="15"/>
      <c r="E113" s="8" t="str">
        <f>IFERROR(VLOOKUP(D113,Products!$A$4:$B$103,2,FALSE),"")</f>
        <v/>
      </c>
      <c r="F113" s="15"/>
      <c r="G113" s="15"/>
      <c r="H113" s="15"/>
      <c r="I113" s="15"/>
      <c r="J113" s="16"/>
      <c r="K113" s="10" t="str">
        <f t="shared" si="3"/>
        <v/>
      </c>
    </row>
    <row r="114" spans="1:11">
      <c r="A114" s="15"/>
      <c r="B114" s="18"/>
      <c r="C114" s="15"/>
      <c r="D114" s="15"/>
      <c r="E114" s="8" t="str">
        <f>IFERROR(VLOOKUP(D114,Products!$A$4:$B$103,2,FALSE),"")</f>
        <v/>
      </c>
      <c r="F114" s="15"/>
      <c r="G114" s="15"/>
      <c r="H114" s="15"/>
      <c r="I114" s="15"/>
      <c r="J114" s="16"/>
      <c r="K114" s="10" t="str">
        <f t="shared" si="3"/>
        <v/>
      </c>
    </row>
    <row r="115" spans="1:11">
      <c r="A115" s="15"/>
      <c r="B115" s="18"/>
      <c r="C115" s="15"/>
      <c r="D115" s="15"/>
      <c r="E115" s="8" t="str">
        <f>IFERROR(VLOOKUP(D115,Products!$A$4:$B$103,2,FALSE),"")</f>
        <v/>
      </c>
      <c r="F115" s="15"/>
      <c r="G115" s="15"/>
      <c r="H115" s="15"/>
      <c r="I115" s="15"/>
      <c r="J115" s="16"/>
      <c r="K115" s="10" t="str">
        <f t="shared" si="3"/>
        <v/>
      </c>
    </row>
    <row r="116" spans="1:11">
      <c r="A116" s="15"/>
      <c r="B116" s="18"/>
      <c r="C116" s="15"/>
      <c r="D116" s="15"/>
      <c r="E116" s="8" t="str">
        <f>IFERROR(VLOOKUP(D116,Products!$A$4:$B$103,2,FALSE),"")</f>
        <v/>
      </c>
      <c r="F116" s="15"/>
      <c r="G116" s="15"/>
      <c r="H116" s="15"/>
      <c r="I116" s="15"/>
      <c r="J116" s="16"/>
      <c r="K116" s="10" t="str">
        <f t="shared" si="3"/>
        <v/>
      </c>
    </row>
    <row r="117" spans="1:11">
      <c r="A117" s="15"/>
      <c r="B117" s="18"/>
      <c r="C117" s="15"/>
      <c r="D117" s="15"/>
      <c r="E117" s="8" t="str">
        <f>IFERROR(VLOOKUP(D117,Products!$A$4:$B$103,2,FALSE),"")</f>
        <v/>
      </c>
      <c r="F117" s="15"/>
      <c r="G117" s="15"/>
      <c r="H117" s="15"/>
      <c r="I117" s="15"/>
      <c r="J117" s="16"/>
      <c r="K117" s="10" t="str">
        <f t="shared" si="3"/>
        <v/>
      </c>
    </row>
    <row r="118" spans="1:11">
      <c r="A118" s="15"/>
      <c r="B118" s="18"/>
      <c r="C118" s="15"/>
      <c r="D118" s="15"/>
      <c r="E118" s="8" t="str">
        <f>IFERROR(VLOOKUP(D118,Products!$A$4:$B$103,2,FALSE),"")</f>
        <v/>
      </c>
      <c r="F118" s="15"/>
      <c r="G118" s="15"/>
      <c r="H118" s="15"/>
      <c r="I118" s="15"/>
      <c r="J118" s="16"/>
      <c r="K118" s="10" t="str">
        <f t="shared" si="3"/>
        <v/>
      </c>
    </row>
    <row r="119" spans="1:11">
      <c r="A119" s="15"/>
      <c r="B119" s="18"/>
      <c r="C119" s="15"/>
      <c r="D119" s="15"/>
      <c r="E119" s="8" t="str">
        <f>IFERROR(VLOOKUP(D119,Products!$A$4:$B$103,2,FALSE),"")</f>
        <v/>
      </c>
      <c r="F119" s="15"/>
      <c r="G119" s="15"/>
      <c r="H119" s="15"/>
      <c r="I119" s="15"/>
      <c r="J119" s="16"/>
      <c r="K119" s="10" t="str">
        <f t="shared" si="3"/>
        <v/>
      </c>
    </row>
    <row r="120" spans="1:11">
      <c r="A120" s="15"/>
      <c r="B120" s="18"/>
      <c r="C120" s="15"/>
      <c r="D120" s="15"/>
      <c r="E120" s="8" t="str">
        <f>IFERROR(VLOOKUP(D120,Products!$A$4:$B$103,2,FALSE),"")</f>
        <v/>
      </c>
      <c r="F120" s="15"/>
      <c r="G120" s="15"/>
      <c r="H120" s="15"/>
      <c r="I120" s="15"/>
      <c r="J120" s="16"/>
      <c r="K120" s="10" t="str">
        <f t="shared" si="3"/>
        <v/>
      </c>
    </row>
    <row r="121" spans="1:11">
      <c r="A121" s="15"/>
      <c r="B121" s="18"/>
      <c r="C121" s="15"/>
      <c r="D121" s="15"/>
      <c r="E121" s="8" t="str">
        <f>IFERROR(VLOOKUP(D121,Products!$A$4:$B$103,2,FALSE),"")</f>
        <v/>
      </c>
      <c r="F121" s="15"/>
      <c r="G121" s="15"/>
      <c r="H121" s="15"/>
      <c r="I121" s="15"/>
      <c r="J121" s="16"/>
      <c r="K121" s="10" t="str">
        <f t="shared" si="3"/>
        <v/>
      </c>
    </row>
    <row r="122" spans="1:11">
      <c r="A122" s="15"/>
      <c r="B122" s="18"/>
      <c r="C122" s="15"/>
      <c r="D122" s="15"/>
      <c r="E122" s="8" t="str">
        <f>IFERROR(VLOOKUP(D122,Products!$A$4:$B$103,2,FALSE),"")</f>
        <v/>
      </c>
      <c r="F122" s="15"/>
      <c r="G122" s="15"/>
      <c r="H122" s="15"/>
      <c r="I122" s="15"/>
      <c r="J122" s="16"/>
      <c r="K122" s="10" t="str">
        <f t="shared" si="3"/>
        <v/>
      </c>
    </row>
    <row r="123" spans="1:11">
      <c r="A123" s="15"/>
      <c r="B123" s="18"/>
      <c r="C123" s="15"/>
      <c r="D123" s="15"/>
      <c r="E123" s="8" t="str">
        <f>IFERROR(VLOOKUP(D123,Products!$A$4:$B$103,2,FALSE),"")</f>
        <v/>
      </c>
      <c r="F123" s="15"/>
      <c r="G123" s="15"/>
      <c r="H123" s="15"/>
      <c r="I123" s="15"/>
      <c r="J123" s="16"/>
      <c r="K123" s="10" t="str">
        <f t="shared" si="3"/>
        <v/>
      </c>
    </row>
    <row r="124" spans="1:11">
      <c r="A124" s="15"/>
      <c r="B124" s="18"/>
      <c r="C124" s="15"/>
      <c r="D124" s="15"/>
      <c r="E124" s="8" t="str">
        <f>IFERROR(VLOOKUP(D124,Products!$A$4:$B$103,2,FALSE),"")</f>
        <v/>
      </c>
      <c r="F124" s="15"/>
      <c r="G124" s="15"/>
      <c r="H124" s="15"/>
      <c r="I124" s="15"/>
      <c r="J124" s="16"/>
      <c r="K124" s="10" t="str">
        <f t="shared" si="3"/>
        <v/>
      </c>
    </row>
    <row r="125" spans="1:11">
      <c r="A125" s="15"/>
      <c r="B125" s="18"/>
      <c r="C125" s="15"/>
      <c r="D125" s="15"/>
      <c r="E125" s="8" t="str">
        <f>IFERROR(VLOOKUP(D125,Products!$A$4:$B$103,2,FALSE),"")</f>
        <v/>
      </c>
      <c r="F125" s="15"/>
      <c r="G125" s="15"/>
      <c r="H125" s="15"/>
      <c r="I125" s="15"/>
      <c r="J125" s="16"/>
      <c r="K125" s="10" t="str">
        <f t="shared" si="3"/>
        <v/>
      </c>
    </row>
    <row r="126" spans="1:11">
      <c r="A126" s="15"/>
      <c r="B126" s="18"/>
      <c r="C126" s="15"/>
      <c r="D126" s="15"/>
      <c r="E126" s="8" t="str">
        <f>IFERROR(VLOOKUP(D126,Products!$A$4:$B$103,2,FALSE),"")</f>
        <v/>
      </c>
      <c r="F126" s="15"/>
      <c r="G126" s="15"/>
      <c r="H126" s="15"/>
      <c r="I126" s="15"/>
      <c r="J126" s="16"/>
      <c r="K126" s="10" t="str">
        <f t="shared" si="3"/>
        <v/>
      </c>
    </row>
    <row r="127" spans="1:11">
      <c r="A127" s="15"/>
      <c r="B127" s="18"/>
      <c r="C127" s="15"/>
      <c r="D127" s="15"/>
      <c r="E127" s="8" t="str">
        <f>IFERROR(VLOOKUP(D127,Products!$A$4:$B$103,2,FALSE),"")</f>
        <v/>
      </c>
      <c r="F127" s="15"/>
      <c r="G127" s="15"/>
      <c r="H127" s="15"/>
      <c r="I127" s="15"/>
      <c r="J127" s="16"/>
      <c r="K127" s="10" t="str">
        <f t="shared" si="3"/>
        <v/>
      </c>
    </row>
    <row r="128" spans="1:11">
      <c r="A128" s="15"/>
      <c r="B128" s="18"/>
      <c r="C128" s="15"/>
      <c r="D128" s="15"/>
      <c r="E128" s="8" t="str">
        <f>IFERROR(VLOOKUP(D128,Products!$A$4:$B$103,2,FALSE),"")</f>
        <v/>
      </c>
      <c r="F128" s="15"/>
      <c r="G128" s="15"/>
      <c r="H128" s="15"/>
      <c r="I128" s="15"/>
      <c r="J128" s="16"/>
      <c r="K128" s="10" t="str">
        <f t="shared" si="3"/>
        <v/>
      </c>
    </row>
    <row r="129" spans="1:11">
      <c r="A129" s="15"/>
      <c r="B129" s="18"/>
      <c r="C129" s="15"/>
      <c r="D129" s="15"/>
      <c r="E129" s="8" t="str">
        <f>IFERROR(VLOOKUP(D129,Products!$A$4:$B$103,2,FALSE),"")</f>
        <v/>
      </c>
      <c r="F129" s="15"/>
      <c r="G129" s="15"/>
      <c r="H129" s="15"/>
      <c r="I129" s="15"/>
      <c r="J129" s="16"/>
      <c r="K129" s="10" t="str">
        <f t="shared" si="3"/>
        <v/>
      </c>
    </row>
    <row r="130" spans="1:11">
      <c r="A130" s="15"/>
      <c r="B130" s="18"/>
      <c r="C130" s="15"/>
      <c r="D130" s="15"/>
      <c r="E130" s="8" t="str">
        <f>IFERROR(VLOOKUP(D130,Products!$A$4:$B$103,2,FALSE),"")</f>
        <v/>
      </c>
      <c r="F130" s="15"/>
      <c r="G130" s="15"/>
      <c r="H130" s="15"/>
      <c r="I130" s="15"/>
      <c r="J130" s="16"/>
      <c r="K130" s="10" t="str">
        <f t="shared" si="3"/>
        <v/>
      </c>
    </row>
    <row r="131" spans="1:11">
      <c r="A131" s="15"/>
      <c r="B131" s="18"/>
      <c r="C131" s="15"/>
      <c r="D131" s="15"/>
      <c r="E131" s="8" t="str">
        <f>IFERROR(VLOOKUP(D131,Products!$A$4:$B$103,2,FALSE),"")</f>
        <v/>
      </c>
      <c r="F131" s="15"/>
      <c r="G131" s="15"/>
      <c r="H131" s="15"/>
      <c r="I131" s="15"/>
      <c r="J131" s="16"/>
      <c r="K131" s="10" t="str">
        <f t="shared" si="3"/>
        <v/>
      </c>
    </row>
    <row r="132" spans="1:11">
      <c r="A132" s="15"/>
      <c r="B132" s="18"/>
      <c r="C132" s="15"/>
      <c r="D132" s="15"/>
      <c r="E132" s="8" t="str">
        <f>IFERROR(VLOOKUP(D132,Products!$A$4:$B$103,2,FALSE),"")</f>
        <v/>
      </c>
      <c r="F132" s="15"/>
      <c r="G132" s="15"/>
      <c r="H132" s="15"/>
      <c r="I132" s="15"/>
      <c r="J132" s="16"/>
      <c r="K132" s="10" t="str">
        <f t="shared" ref="K132:K163" si="4">IF(OR(F132="",J132=""),"",F132*J132)</f>
        <v/>
      </c>
    </row>
    <row r="133" spans="1:11">
      <c r="A133" s="15"/>
      <c r="B133" s="18"/>
      <c r="C133" s="15"/>
      <c r="D133" s="15"/>
      <c r="E133" s="8" t="str">
        <f>IFERROR(VLOOKUP(D133,Products!$A$4:$B$103,2,FALSE),"")</f>
        <v/>
      </c>
      <c r="F133" s="15"/>
      <c r="G133" s="15"/>
      <c r="H133" s="15"/>
      <c r="I133" s="15"/>
      <c r="J133" s="16"/>
      <c r="K133" s="10" t="str">
        <f t="shared" si="4"/>
        <v/>
      </c>
    </row>
    <row r="134" spans="1:11">
      <c r="A134" s="15"/>
      <c r="B134" s="18"/>
      <c r="C134" s="15"/>
      <c r="D134" s="15"/>
      <c r="E134" s="8" t="str">
        <f>IFERROR(VLOOKUP(D134,Products!$A$4:$B$103,2,FALSE),"")</f>
        <v/>
      </c>
      <c r="F134" s="15"/>
      <c r="G134" s="15"/>
      <c r="H134" s="15"/>
      <c r="I134" s="15"/>
      <c r="J134" s="16"/>
      <c r="K134" s="10" t="str">
        <f t="shared" si="4"/>
        <v/>
      </c>
    </row>
    <row r="135" spans="1:11">
      <c r="A135" s="15"/>
      <c r="B135" s="18"/>
      <c r="C135" s="15"/>
      <c r="D135" s="15"/>
      <c r="E135" s="8" t="str">
        <f>IFERROR(VLOOKUP(D135,Products!$A$4:$B$103,2,FALSE),"")</f>
        <v/>
      </c>
      <c r="F135" s="15"/>
      <c r="G135" s="15"/>
      <c r="H135" s="15"/>
      <c r="I135" s="15"/>
      <c r="J135" s="16"/>
      <c r="K135" s="10" t="str">
        <f t="shared" si="4"/>
        <v/>
      </c>
    </row>
    <row r="136" spans="1:11">
      <c r="A136" s="15"/>
      <c r="B136" s="18"/>
      <c r="C136" s="15"/>
      <c r="D136" s="15"/>
      <c r="E136" s="8" t="str">
        <f>IFERROR(VLOOKUP(D136,Products!$A$4:$B$103,2,FALSE),"")</f>
        <v/>
      </c>
      <c r="F136" s="15"/>
      <c r="G136" s="15"/>
      <c r="H136" s="15"/>
      <c r="I136" s="15"/>
      <c r="J136" s="16"/>
      <c r="K136" s="10" t="str">
        <f t="shared" si="4"/>
        <v/>
      </c>
    </row>
    <row r="137" spans="1:11">
      <c r="A137" s="15"/>
      <c r="B137" s="18"/>
      <c r="C137" s="15"/>
      <c r="D137" s="15"/>
      <c r="E137" s="8" t="str">
        <f>IFERROR(VLOOKUP(D137,Products!$A$4:$B$103,2,FALSE),"")</f>
        <v/>
      </c>
      <c r="F137" s="15"/>
      <c r="G137" s="15"/>
      <c r="H137" s="15"/>
      <c r="I137" s="15"/>
      <c r="J137" s="16"/>
      <c r="K137" s="10" t="str">
        <f t="shared" si="4"/>
        <v/>
      </c>
    </row>
    <row r="138" spans="1:11">
      <c r="A138" s="15"/>
      <c r="B138" s="18"/>
      <c r="C138" s="15"/>
      <c r="D138" s="15"/>
      <c r="E138" s="8" t="str">
        <f>IFERROR(VLOOKUP(D138,Products!$A$4:$B$103,2,FALSE),"")</f>
        <v/>
      </c>
      <c r="F138" s="15"/>
      <c r="G138" s="15"/>
      <c r="H138" s="15"/>
      <c r="I138" s="15"/>
      <c r="J138" s="16"/>
      <c r="K138" s="10" t="str">
        <f t="shared" si="4"/>
        <v/>
      </c>
    </row>
    <row r="139" spans="1:11">
      <c r="A139" s="15"/>
      <c r="B139" s="18"/>
      <c r="C139" s="15"/>
      <c r="D139" s="15"/>
      <c r="E139" s="8" t="str">
        <f>IFERROR(VLOOKUP(D139,Products!$A$4:$B$103,2,FALSE),"")</f>
        <v/>
      </c>
      <c r="F139" s="15"/>
      <c r="G139" s="15"/>
      <c r="H139" s="15"/>
      <c r="I139" s="15"/>
      <c r="J139" s="16"/>
      <c r="K139" s="10" t="str">
        <f t="shared" si="4"/>
        <v/>
      </c>
    </row>
    <row r="140" spans="1:11">
      <c r="A140" s="15"/>
      <c r="B140" s="18"/>
      <c r="C140" s="15"/>
      <c r="D140" s="15"/>
      <c r="E140" s="8" t="str">
        <f>IFERROR(VLOOKUP(D140,Products!$A$4:$B$103,2,FALSE),"")</f>
        <v/>
      </c>
      <c r="F140" s="15"/>
      <c r="G140" s="15"/>
      <c r="H140" s="15"/>
      <c r="I140" s="15"/>
      <c r="J140" s="16"/>
      <c r="K140" s="10" t="str">
        <f t="shared" si="4"/>
        <v/>
      </c>
    </row>
    <row r="141" spans="1:11">
      <c r="A141" s="15"/>
      <c r="B141" s="18"/>
      <c r="C141" s="15"/>
      <c r="D141" s="15"/>
      <c r="E141" s="8" t="str">
        <f>IFERROR(VLOOKUP(D141,Products!$A$4:$B$103,2,FALSE),"")</f>
        <v/>
      </c>
      <c r="F141" s="15"/>
      <c r="G141" s="15"/>
      <c r="H141" s="15"/>
      <c r="I141" s="15"/>
      <c r="J141" s="16"/>
      <c r="K141" s="10" t="str">
        <f t="shared" si="4"/>
        <v/>
      </c>
    </row>
    <row r="142" spans="1:11">
      <c r="A142" s="15"/>
      <c r="B142" s="18"/>
      <c r="C142" s="15"/>
      <c r="D142" s="15"/>
      <c r="E142" s="8" t="str">
        <f>IFERROR(VLOOKUP(D142,Products!$A$4:$B$103,2,FALSE),"")</f>
        <v/>
      </c>
      <c r="F142" s="15"/>
      <c r="G142" s="15"/>
      <c r="H142" s="15"/>
      <c r="I142" s="15"/>
      <c r="J142" s="16"/>
      <c r="K142" s="10" t="str">
        <f t="shared" si="4"/>
        <v/>
      </c>
    </row>
    <row r="143" spans="1:11">
      <c r="A143" s="15"/>
      <c r="B143" s="18"/>
      <c r="C143" s="15"/>
      <c r="D143" s="15"/>
      <c r="E143" s="8" t="str">
        <f>IFERROR(VLOOKUP(D143,Products!$A$4:$B$103,2,FALSE),"")</f>
        <v/>
      </c>
      <c r="F143" s="15"/>
      <c r="G143" s="15"/>
      <c r="H143" s="15"/>
      <c r="I143" s="15"/>
      <c r="J143" s="16"/>
      <c r="K143" s="10" t="str">
        <f t="shared" si="4"/>
        <v/>
      </c>
    </row>
    <row r="144" spans="1:11">
      <c r="A144" s="15"/>
      <c r="B144" s="18"/>
      <c r="C144" s="15"/>
      <c r="D144" s="15"/>
      <c r="E144" s="8" t="str">
        <f>IFERROR(VLOOKUP(D144,Products!$A$4:$B$103,2,FALSE),"")</f>
        <v/>
      </c>
      <c r="F144" s="15"/>
      <c r="G144" s="15"/>
      <c r="H144" s="15"/>
      <c r="I144" s="15"/>
      <c r="J144" s="16"/>
      <c r="K144" s="10" t="str">
        <f t="shared" si="4"/>
        <v/>
      </c>
    </row>
    <row r="145" spans="1:11">
      <c r="A145" s="15"/>
      <c r="B145" s="18"/>
      <c r="C145" s="15"/>
      <c r="D145" s="15"/>
      <c r="E145" s="8" t="str">
        <f>IFERROR(VLOOKUP(D145,Products!$A$4:$B$103,2,FALSE),"")</f>
        <v/>
      </c>
      <c r="F145" s="15"/>
      <c r="G145" s="15"/>
      <c r="H145" s="15"/>
      <c r="I145" s="15"/>
      <c r="J145" s="16"/>
      <c r="K145" s="10" t="str">
        <f t="shared" si="4"/>
        <v/>
      </c>
    </row>
    <row r="146" spans="1:11">
      <c r="A146" s="15"/>
      <c r="B146" s="18"/>
      <c r="C146" s="15"/>
      <c r="D146" s="15"/>
      <c r="E146" s="8" t="str">
        <f>IFERROR(VLOOKUP(D146,Products!$A$4:$B$103,2,FALSE),"")</f>
        <v/>
      </c>
      <c r="F146" s="15"/>
      <c r="G146" s="15"/>
      <c r="H146" s="15"/>
      <c r="I146" s="15"/>
      <c r="J146" s="16"/>
      <c r="K146" s="10" t="str">
        <f t="shared" si="4"/>
        <v/>
      </c>
    </row>
    <row r="147" spans="1:11">
      <c r="A147" s="15"/>
      <c r="B147" s="18"/>
      <c r="C147" s="15"/>
      <c r="D147" s="15"/>
      <c r="E147" s="8" t="str">
        <f>IFERROR(VLOOKUP(D147,Products!$A$4:$B$103,2,FALSE),"")</f>
        <v/>
      </c>
      <c r="F147" s="15"/>
      <c r="G147" s="15"/>
      <c r="H147" s="15"/>
      <c r="I147" s="15"/>
      <c r="J147" s="16"/>
      <c r="K147" s="10" t="str">
        <f t="shared" si="4"/>
        <v/>
      </c>
    </row>
    <row r="148" spans="1:11">
      <c r="A148" s="15"/>
      <c r="B148" s="18"/>
      <c r="C148" s="15"/>
      <c r="D148" s="15"/>
      <c r="E148" s="8" t="str">
        <f>IFERROR(VLOOKUP(D148,Products!$A$4:$B$103,2,FALSE),"")</f>
        <v/>
      </c>
      <c r="F148" s="15"/>
      <c r="G148" s="15"/>
      <c r="H148" s="15"/>
      <c r="I148" s="15"/>
      <c r="J148" s="16"/>
      <c r="K148" s="10" t="str">
        <f t="shared" si="4"/>
        <v/>
      </c>
    </row>
    <row r="149" spans="1:11">
      <c r="A149" s="15"/>
      <c r="B149" s="18"/>
      <c r="C149" s="15"/>
      <c r="D149" s="15"/>
      <c r="E149" s="8" t="str">
        <f>IFERROR(VLOOKUP(D149,Products!$A$4:$B$103,2,FALSE),"")</f>
        <v/>
      </c>
      <c r="F149" s="15"/>
      <c r="G149" s="15"/>
      <c r="H149" s="15"/>
      <c r="I149" s="15"/>
      <c r="J149" s="16"/>
      <c r="K149" s="10" t="str">
        <f t="shared" si="4"/>
        <v/>
      </c>
    </row>
    <row r="150" spans="1:11">
      <c r="A150" s="15"/>
      <c r="B150" s="18"/>
      <c r="C150" s="15"/>
      <c r="D150" s="15"/>
      <c r="E150" s="8" t="str">
        <f>IFERROR(VLOOKUP(D150,Products!$A$4:$B$103,2,FALSE),"")</f>
        <v/>
      </c>
      <c r="F150" s="15"/>
      <c r="G150" s="15"/>
      <c r="H150" s="15"/>
      <c r="I150" s="15"/>
      <c r="J150" s="16"/>
      <c r="K150" s="10" t="str">
        <f t="shared" si="4"/>
        <v/>
      </c>
    </row>
    <row r="151" spans="1:11">
      <c r="A151" s="15"/>
      <c r="B151" s="18"/>
      <c r="C151" s="15"/>
      <c r="D151" s="15"/>
      <c r="E151" s="8" t="str">
        <f>IFERROR(VLOOKUP(D151,Products!$A$4:$B$103,2,FALSE),"")</f>
        <v/>
      </c>
      <c r="F151" s="15"/>
      <c r="G151" s="15"/>
      <c r="H151" s="15"/>
      <c r="I151" s="15"/>
      <c r="J151" s="16"/>
      <c r="K151" s="10" t="str">
        <f t="shared" si="4"/>
        <v/>
      </c>
    </row>
    <row r="152" spans="1:11">
      <c r="A152" s="15"/>
      <c r="B152" s="18"/>
      <c r="C152" s="15"/>
      <c r="D152" s="15"/>
      <c r="E152" s="8" t="str">
        <f>IFERROR(VLOOKUP(D152,Products!$A$4:$B$103,2,FALSE),"")</f>
        <v/>
      </c>
      <c r="F152" s="15"/>
      <c r="G152" s="15"/>
      <c r="H152" s="15"/>
      <c r="I152" s="15"/>
      <c r="J152" s="16"/>
      <c r="K152" s="10" t="str">
        <f t="shared" si="4"/>
        <v/>
      </c>
    </row>
    <row r="153" spans="1:11">
      <c r="A153" s="15"/>
      <c r="B153" s="18"/>
      <c r="C153" s="15"/>
      <c r="D153" s="15"/>
      <c r="E153" s="8" t="str">
        <f>IFERROR(VLOOKUP(D153,Products!$A$4:$B$103,2,FALSE),"")</f>
        <v/>
      </c>
      <c r="F153" s="15"/>
      <c r="G153" s="15"/>
      <c r="H153" s="15"/>
      <c r="I153" s="15"/>
      <c r="J153" s="16"/>
      <c r="K153" s="10" t="str">
        <f t="shared" si="4"/>
        <v/>
      </c>
    </row>
    <row r="154" spans="1:11">
      <c r="A154" s="15"/>
      <c r="B154" s="18"/>
      <c r="C154" s="15"/>
      <c r="D154" s="15"/>
      <c r="E154" s="8" t="str">
        <f>IFERROR(VLOOKUP(D154,Products!$A$4:$B$103,2,FALSE),"")</f>
        <v/>
      </c>
      <c r="F154" s="15"/>
      <c r="G154" s="15"/>
      <c r="H154" s="15"/>
      <c r="I154" s="15"/>
      <c r="J154" s="16"/>
      <c r="K154" s="10" t="str">
        <f t="shared" si="4"/>
        <v/>
      </c>
    </row>
    <row r="155" spans="1:11">
      <c r="A155" s="15"/>
      <c r="B155" s="18"/>
      <c r="C155" s="15"/>
      <c r="D155" s="15"/>
      <c r="E155" s="8" t="str">
        <f>IFERROR(VLOOKUP(D155,Products!$A$4:$B$103,2,FALSE),"")</f>
        <v/>
      </c>
      <c r="F155" s="15"/>
      <c r="G155" s="15"/>
      <c r="H155" s="15"/>
      <c r="I155" s="15"/>
      <c r="J155" s="16"/>
      <c r="K155" s="10" t="str">
        <f t="shared" si="4"/>
        <v/>
      </c>
    </row>
    <row r="156" spans="1:11">
      <c r="A156" s="15"/>
      <c r="B156" s="18"/>
      <c r="C156" s="15"/>
      <c r="D156" s="15"/>
      <c r="E156" s="8" t="str">
        <f>IFERROR(VLOOKUP(D156,Products!$A$4:$B$103,2,FALSE),"")</f>
        <v/>
      </c>
      <c r="F156" s="15"/>
      <c r="G156" s="15"/>
      <c r="H156" s="15"/>
      <c r="I156" s="15"/>
      <c r="J156" s="16"/>
      <c r="K156" s="10" t="str">
        <f t="shared" si="4"/>
        <v/>
      </c>
    </row>
    <row r="157" spans="1:11">
      <c r="A157" s="15"/>
      <c r="B157" s="18"/>
      <c r="C157" s="15"/>
      <c r="D157" s="15"/>
      <c r="E157" s="8" t="str">
        <f>IFERROR(VLOOKUP(D157,Products!$A$4:$B$103,2,FALSE),"")</f>
        <v/>
      </c>
      <c r="F157" s="15"/>
      <c r="G157" s="15"/>
      <c r="H157" s="15"/>
      <c r="I157" s="15"/>
      <c r="J157" s="16"/>
      <c r="K157" s="10" t="str">
        <f t="shared" si="4"/>
        <v/>
      </c>
    </row>
    <row r="158" spans="1:11">
      <c r="A158" s="15"/>
      <c r="B158" s="18"/>
      <c r="C158" s="15"/>
      <c r="D158" s="15"/>
      <c r="E158" s="8" t="str">
        <f>IFERROR(VLOOKUP(D158,Products!$A$4:$B$103,2,FALSE),"")</f>
        <v/>
      </c>
      <c r="F158" s="15"/>
      <c r="G158" s="15"/>
      <c r="H158" s="15"/>
      <c r="I158" s="15"/>
      <c r="J158" s="16"/>
      <c r="K158" s="10" t="str">
        <f t="shared" si="4"/>
        <v/>
      </c>
    </row>
    <row r="159" spans="1:11">
      <c r="A159" s="15"/>
      <c r="B159" s="18"/>
      <c r="C159" s="15"/>
      <c r="D159" s="15"/>
      <c r="E159" s="8" t="str">
        <f>IFERROR(VLOOKUP(D159,Products!$A$4:$B$103,2,FALSE),"")</f>
        <v/>
      </c>
      <c r="F159" s="15"/>
      <c r="G159" s="15"/>
      <c r="H159" s="15"/>
      <c r="I159" s="15"/>
      <c r="J159" s="16"/>
      <c r="K159" s="10" t="str">
        <f t="shared" si="4"/>
        <v/>
      </c>
    </row>
    <row r="160" spans="1:11">
      <c r="A160" s="15"/>
      <c r="B160" s="18"/>
      <c r="C160" s="15"/>
      <c r="D160" s="15"/>
      <c r="E160" s="8" t="str">
        <f>IFERROR(VLOOKUP(D160,Products!$A$4:$B$103,2,FALSE),"")</f>
        <v/>
      </c>
      <c r="F160" s="15"/>
      <c r="G160" s="15"/>
      <c r="H160" s="15"/>
      <c r="I160" s="15"/>
      <c r="J160" s="16"/>
      <c r="K160" s="10" t="str">
        <f t="shared" si="4"/>
        <v/>
      </c>
    </row>
    <row r="161" spans="1:11">
      <c r="A161" s="15"/>
      <c r="B161" s="18"/>
      <c r="C161" s="15"/>
      <c r="D161" s="15"/>
      <c r="E161" s="8" t="str">
        <f>IFERROR(VLOOKUP(D161,Products!$A$4:$B$103,2,FALSE),"")</f>
        <v/>
      </c>
      <c r="F161" s="15"/>
      <c r="G161" s="15"/>
      <c r="H161" s="15"/>
      <c r="I161" s="15"/>
      <c r="J161" s="16"/>
      <c r="K161" s="10" t="str">
        <f t="shared" si="4"/>
        <v/>
      </c>
    </row>
    <row r="162" spans="1:11">
      <c r="A162" s="15"/>
      <c r="B162" s="18"/>
      <c r="C162" s="15"/>
      <c r="D162" s="15"/>
      <c r="E162" s="8" t="str">
        <f>IFERROR(VLOOKUP(D162,Products!$A$4:$B$103,2,FALSE),"")</f>
        <v/>
      </c>
      <c r="F162" s="15"/>
      <c r="G162" s="15"/>
      <c r="H162" s="15"/>
      <c r="I162" s="15"/>
      <c r="J162" s="16"/>
      <c r="K162" s="10" t="str">
        <f t="shared" si="4"/>
        <v/>
      </c>
    </row>
    <row r="163" spans="1:11">
      <c r="A163" s="15"/>
      <c r="B163" s="18"/>
      <c r="C163" s="15"/>
      <c r="D163" s="15"/>
      <c r="E163" s="8" t="str">
        <f>IFERROR(VLOOKUP(D163,Products!$A$4:$B$103,2,FALSE),"")</f>
        <v/>
      </c>
      <c r="F163" s="15"/>
      <c r="G163" s="15"/>
      <c r="H163" s="15"/>
      <c r="I163" s="15"/>
      <c r="J163" s="16"/>
      <c r="K163" s="10" t="str">
        <f t="shared" si="4"/>
        <v/>
      </c>
    </row>
    <row r="164" spans="1:11">
      <c r="A164" s="15"/>
      <c r="B164" s="18"/>
      <c r="C164" s="15"/>
      <c r="D164" s="15"/>
      <c r="E164" s="8" t="str">
        <f>IFERROR(VLOOKUP(D164,Products!$A$4:$B$103,2,FALSE),"")</f>
        <v/>
      </c>
      <c r="F164" s="15"/>
      <c r="G164" s="15"/>
      <c r="H164" s="15"/>
      <c r="I164" s="15"/>
      <c r="J164" s="16"/>
      <c r="K164" s="10" t="str">
        <f t="shared" ref="K164:K195" si="5">IF(OR(F164="",J164=""),"",F164*J164)</f>
        <v/>
      </c>
    </row>
    <row r="165" spans="1:11">
      <c r="A165" s="15"/>
      <c r="B165" s="18"/>
      <c r="C165" s="15"/>
      <c r="D165" s="15"/>
      <c r="E165" s="8" t="str">
        <f>IFERROR(VLOOKUP(D165,Products!$A$4:$B$103,2,FALSE),"")</f>
        <v/>
      </c>
      <c r="F165" s="15"/>
      <c r="G165" s="15"/>
      <c r="H165" s="15"/>
      <c r="I165" s="15"/>
      <c r="J165" s="16"/>
      <c r="K165" s="10" t="str">
        <f t="shared" si="5"/>
        <v/>
      </c>
    </row>
    <row r="166" spans="1:11">
      <c r="A166" s="15"/>
      <c r="B166" s="18"/>
      <c r="C166" s="15"/>
      <c r="D166" s="15"/>
      <c r="E166" s="8" t="str">
        <f>IFERROR(VLOOKUP(D166,Products!$A$4:$B$103,2,FALSE),"")</f>
        <v/>
      </c>
      <c r="F166" s="15"/>
      <c r="G166" s="15"/>
      <c r="H166" s="15"/>
      <c r="I166" s="15"/>
      <c r="J166" s="16"/>
      <c r="K166" s="10" t="str">
        <f t="shared" si="5"/>
        <v/>
      </c>
    </row>
    <row r="167" spans="1:11">
      <c r="A167" s="15"/>
      <c r="B167" s="18"/>
      <c r="C167" s="15"/>
      <c r="D167" s="15"/>
      <c r="E167" s="8" t="str">
        <f>IFERROR(VLOOKUP(D167,Products!$A$4:$B$103,2,FALSE),"")</f>
        <v/>
      </c>
      <c r="F167" s="15"/>
      <c r="G167" s="15"/>
      <c r="H167" s="15"/>
      <c r="I167" s="15"/>
      <c r="J167" s="16"/>
      <c r="K167" s="10" t="str">
        <f t="shared" si="5"/>
        <v/>
      </c>
    </row>
    <row r="168" spans="1:11">
      <c r="A168" s="15"/>
      <c r="B168" s="18"/>
      <c r="C168" s="15"/>
      <c r="D168" s="15"/>
      <c r="E168" s="8" t="str">
        <f>IFERROR(VLOOKUP(D168,Products!$A$4:$B$103,2,FALSE),"")</f>
        <v/>
      </c>
      <c r="F168" s="15"/>
      <c r="G168" s="15"/>
      <c r="H168" s="15"/>
      <c r="I168" s="15"/>
      <c r="J168" s="16"/>
      <c r="K168" s="10" t="str">
        <f t="shared" si="5"/>
        <v/>
      </c>
    </row>
    <row r="169" spans="1:11">
      <c r="A169" s="15"/>
      <c r="B169" s="18"/>
      <c r="C169" s="15"/>
      <c r="D169" s="15"/>
      <c r="E169" s="8" t="str">
        <f>IFERROR(VLOOKUP(D169,Products!$A$4:$B$103,2,FALSE),"")</f>
        <v/>
      </c>
      <c r="F169" s="15"/>
      <c r="G169" s="15"/>
      <c r="H169" s="15"/>
      <c r="I169" s="15"/>
      <c r="J169" s="16"/>
      <c r="K169" s="10" t="str">
        <f t="shared" si="5"/>
        <v/>
      </c>
    </row>
    <row r="170" spans="1:11">
      <c r="A170" s="15"/>
      <c r="B170" s="18"/>
      <c r="C170" s="15"/>
      <c r="D170" s="15"/>
      <c r="E170" s="8" t="str">
        <f>IFERROR(VLOOKUP(D170,Products!$A$4:$B$103,2,FALSE),"")</f>
        <v/>
      </c>
      <c r="F170" s="15"/>
      <c r="G170" s="15"/>
      <c r="H170" s="15"/>
      <c r="I170" s="15"/>
      <c r="J170" s="16"/>
      <c r="K170" s="10" t="str">
        <f t="shared" si="5"/>
        <v/>
      </c>
    </row>
    <row r="171" spans="1:11">
      <c r="A171" s="15"/>
      <c r="B171" s="18"/>
      <c r="C171" s="15"/>
      <c r="D171" s="15"/>
      <c r="E171" s="8" t="str">
        <f>IFERROR(VLOOKUP(D171,Products!$A$4:$B$103,2,FALSE),"")</f>
        <v/>
      </c>
      <c r="F171" s="15"/>
      <c r="G171" s="15"/>
      <c r="H171" s="15"/>
      <c r="I171" s="15"/>
      <c r="J171" s="16"/>
      <c r="K171" s="10" t="str">
        <f t="shared" si="5"/>
        <v/>
      </c>
    </row>
    <row r="172" spans="1:11">
      <c r="A172" s="15"/>
      <c r="B172" s="18"/>
      <c r="C172" s="15"/>
      <c r="D172" s="15"/>
      <c r="E172" s="8" t="str">
        <f>IFERROR(VLOOKUP(D172,Products!$A$4:$B$103,2,FALSE),"")</f>
        <v/>
      </c>
      <c r="F172" s="15"/>
      <c r="G172" s="15"/>
      <c r="H172" s="15"/>
      <c r="I172" s="15"/>
      <c r="J172" s="16"/>
      <c r="K172" s="10" t="str">
        <f t="shared" si="5"/>
        <v/>
      </c>
    </row>
    <row r="173" spans="1:11">
      <c r="A173" s="15"/>
      <c r="B173" s="18"/>
      <c r="C173" s="15"/>
      <c r="D173" s="15"/>
      <c r="E173" s="8" t="str">
        <f>IFERROR(VLOOKUP(D173,Products!$A$4:$B$103,2,FALSE),"")</f>
        <v/>
      </c>
      <c r="F173" s="15"/>
      <c r="G173" s="15"/>
      <c r="H173" s="15"/>
      <c r="I173" s="15"/>
      <c r="J173" s="16"/>
      <c r="K173" s="10" t="str">
        <f t="shared" si="5"/>
        <v/>
      </c>
    </row>
    <row r="174" spans="1:11">
      <c r="A174" s="15"/>
      <c r="B174" s="18"/>
      <c r="C174" s="15"/>
      <c r="D174" s="15"/>
      <c r="E174" s="8" t="str">
        <f>IFERROR(VLOOKUP(D174,Products!$A$4:$B$103,2,FALSE),"")</f>
        <v/>
      </c>
      <c r="F174" s="15"/>
      <c r="G174" s="15"/>
      <c r="H174" s="15"/>
      <c r="I174" s="15"/>
      <c r="J174" s="16"/>
      <c r="K174" s="10" t="str">
        <f t="shared" si="5"/>
        <v/>
      </c>
    </row>
    <row r="175" spans="1:11">
      <c r="A175" s="15"/>
      <c r="B175" s="18"/>
      <c r="C175" s="15"/>
      <c r="D175" s="15"/>
      <c r="E175" s="8" t="str">
        <f>IFERROR(VLOOKUP(D175,Products!$A$4:$B$103,2,FALSE),"")</f>
        <v/>
      </c>
      <c r="F175" s="15"/>
      <c r="G175" s="15"/>
      <c r="H175" s="15"/>
      <c r="I175" s="15"/>
      <c r="J175" s="16"/>
      <c r="K175" s="10" t="str">
        <f t="shared" si="5"/>
        <v/>
      </c>
    </row>
    <row r="176" spans="1:11">
      <c r="A176" s="15"/>
      <c r="B176" s="18"/>
      <c r="C176" s="15"/>
      <c r="D176" s="15"/>
      <c r="E176" s="8" t="str">
        <f>IFERROR(VLOOKUP(D176,Products!$A$4:$B$103,2,FALSE),"")</f>
        <v/>
      </c>
      <c r="F176" s="15"/>
      <c r="G176" s="15"/>
      <c r="H176" s="15"/>
      <c r="I176" s="15"/>
      <c r="J176" s="16"/>
      <c r="K176" s="10" t="str">
        <f t="shared" si="5"/>
        <v/>
      </c>
    </row>
    <row r="177" spans="1:11">
      <c r="A177" s="15"/>
      <c r="B177" s="18"/>
      <c r="C177" s="15"/>
      <c r="D177" s="15"/>
      <c r="E177" s="8" t="str">
        <f>IFERROR(VLOOKUP(D177,Products!$A$4:$B$103,2,FALSE),"")</f>
        <v/>
      </c>
      <c r="F177" s="15"/>
      <c r="G177" s="15"/>
      <c r="H177" s="15"/>
      <c r="I177" s="15"/>
      <c r="J177" s="16"/>
      <c r="K177" s="10" t="str">
        <f t="shared" si="5"/>
        <v/>
      </c>
    </row>
    <row r="178" spans="1:11">
      <c r="A178" s="15"/>
      <c r="B178" s="18"/>
      <c r="C178" s="15"/>
      <c r="D178" s="15"/>
      <c r="E178" s="8" t="str">
        <f>IFERROR(VLOOKUP(D178,Products!$A$4:$B$103,2,FALSE),"")</f>
        <v/>
      </c>
      <c r="F178" s="15"/>
      <c r="G178" s="15"/>
      <c r="H178" s="15"/>
      <c r="I178" s="15"/>
      <c r="J178" s="16"/>
      <c r="K178" s="10" t="str">
        <f t="shared" si="5"/>
        <v/>
      </c>
    </row>
    <row r="179" spans="1:11">
      <c r="A179" s="15"/>
      <c r="B179" s="18"/>
      <c r="C179" s="15"/>
      <c r="D179" s="15"/>
      <c r="E179" s="8" t="str">
        <f>IFERROR(VLOOKUP(D179,Products!$A$4:$B$103,2,FALSE),"")</f>
        <v/>
      </c>
      <c r="F179" s="15"/>
      <c r="G179" s="15"/>
      <c r="H179" s="15"/>
      <c r="I179" s="15"/>
      <c r="J179" s="16"/>
      <c r="K179" s="10" t="str">
        <f t="shared" si="5"/>
        <v/>
      </c>
    </row>
    <row r="180" spans="1:11">
      <c r="A180" s="15"/>
      <c r="B180" s="18"/>
      <c r="C180" s="15"/>
      <c r="D180" s="15"/>
      <c r="E180" s="8" t="str">
        <f>IFERROR(VLOOKUP(D180,Products!$A$4:$B$103,2,FALSE),"")</f>
        <v/>
      </c>
      <c r="F180" s="15"/>
      <c r="G180" s="15"/>
      <c r="H180" s="15"/>
      <c r="I180" s="15"/>
      <c r="J180" s="16"/>
      <c r="K180" s="10" t="str">
        <f t="shared" si="5"/>
        <v/>
      </c>
    </row>
    <row r="181" spans="1:11">
      <c r="A181" s="15"/>
      <c r="B181" s="18"/>
      <c r="C181" s="15"/>
      <c r="D181" s="15"/>
      <c r="E181" s="8" t="str">
        <f>IFERROR(VLOOKUP(D181,Products!$A$4:$B$103,2,FALSE),"")</f>
        <v/>
      </c>
      <c r="F181" s="15"/>
      <c r="G181" s="15"/>
      <c r="H181" s="15"/>
      <c r="I181" s="15"/>
      <c r="J181" s="16"/>
      <c r="K181" s="10" t="str">
        <f t="shared" si="5"/>
        <v/>
      </c>
    </row>
    <row r="182" spans="1:11">
      <c r="A182" s="15"/>
      <c r="B182" s="18"/>
      <c r="C182" s="15"/>
      <c r="D182" s="15"/>
      <c r="E182" s="8" t="str">
        <f>IFERROR(VLOOKUP(D182,Products!$A$4:$B$103,2,FALSE),"")</f>
        <v/>
      </c>
      <c r="F182" s="15"/>
      <c r="G182" s="15"/>
      <c r="H182" s="15"/>
      <c r="I182" s="15"/>
      <c r="J182" s="16"/>
      <c r="K182" s="10" t="str">
        <f t="shared" si="5"/>
        <v/>
      </c>
    </row>
    <row r="183" spans="1:11">
      <c r="A183" s="15"/>
      <c r="B183" s="18"/>
      <c r="C183" s="15"/>
      <c r="D183" s="15"/>
      <c r="E183" s="8" t="str">
        <f>IFERROR(VLOOKUP(D183,Products!$A$4:$B$103,2,FALSE),"")</f>
        <v/>
      </c>
      <c r="F183" s="15"/>
      <c r="G183" s="15"/>
      <c r="H183" s="15"/>
      <c r="I183" s="15"/>
      <c r="J183" s="16"/>
      <c r="K183" s="10" t="str">
        <f t="shared" si="5"/>
        <v/>
      </c>
    </row>
    <row r="184" spans="1:11">
      <c r="A184" s="15"/>
      <c r="B184" s="18"/>
      <c r="C184" s="15"/>
      <c r="D184" s="15"/>
      <c r="E184" s="8" t="str">
        <f>IFERROR(VLOOKUP(D184,Products!$A$4:$B$103,2,FALSE),"")</f>
        <v/>
      </c>
      <c r="F184" s="15"/>
      <c r="G184" s="15"/>
      <c r="H184" s="15"/>
      <c r="I184" s="15"/>
      <c r="J184" s="16"/>
      <c r="K184" s="10" t="str">
        <f t="shared" si="5"/>
        <v/>
      </c>
    </row>
    <row r="185" spans="1:11">
      <c r="A185" s="15"/>
      <c r="B185" s="18"/>
      <c r="C185" s="15"/>
      <c r="D185" s="15"/>
      <c r="E185" s="8" t="str">
        <f>IFERROR(VLOOKUP(D185,Products!$A$4:$B$103,2,FALSE),"")</f>
        <v/>
      </c>
      <c r="F185" s="15"/>
      <c r="G185" s="15"/>
      <c r="H185" s="15"/>
      <c r="I185" s="15"/>
      <c r="J185" s="16"/>
      <c r="K185" s="10" t="str">
        <f t="shared" si="5"/>
        <v/>
      </c>
    </row>
    <row r="186" spans="1:11">
      <c r="A186" s="15"/>
      <c r="B186" s="18"/>
      <c r="C186" s="15"/>
      <c r="D186" s="15"/>
      <c r="E186" s="8" t="str">
        <f>IFERROR(VLOOKUP(D186,Products!$A$4:$B$103,2,FALSE),"")</f>
        <v/>
      </c>
      <c r="F186" s="15"/>
      <c r="G186" s="15"/>
      <c r="H186" s="15"/>
      <c r="I186" s="15"/>
      <c r="J186" s="16"/>
      <c r="K186" s="10" t="str">
        <f t="shared" si="5"/>
        <v/>
      </c>
    </row>
    <row r="187" spans="1:11">
      <c r="A187" s="15"/>
      <c r="B187" s="18"/>
      <c r="C187" s="15"/>
      <c r="D187" s="15"/>
      <c r="E187" s="8" t="str">
        <f>IFERROR(VLOOKUP(D187,Products!$A$4:$B$103,2,FALSE),"")</f>
        <v/>
      </c>
      <c r="F187" s="15"/>
      <c r="G187" s="15"/>
      <c r="H187" s="15"/>
      <c r="I187" s="15"/>
      <c r="J187" s="16"/>
      <c r="K187" s="10" t="str">
        <f t="shared" si="5"/>
        <v/>
      </c>
    </row>
    <row r="188" spans="1:11">
      <c r="A188" s="15"/>
      <c r="B188" s="18"/>
      <c r="C188" s="15"/>
      <c r="D188" s="15"/>
      <c r="E188" s="8" t="str">
        <f>IFERROR(VLOOKUP(D188,Products!$A$4:$B$103,2,FALSE),"")</f>
        <v/>
      </c>
      <c r="F188" s="15"/>
      <c r="G188" s="15"/>
      <c r="H188" s="15"/>
      <c r="I188" s="15"/>
      <c r="J188" s="16"/>
      <c r="K188" s="10" t="str">
        <f t="shared" si="5"/>
        <v/>
      </c>
    </row>
    <row r="189" spans="1:11">
      <c r="A189" s="15"/>
      <c r="B189" s="18"/>
      <c r="C189" s="15"/>
      <c r="D189" s="15"/>
      <c r="E189" s="8" t="str">
        <f>IFERROR(VLOOKUP(D189,Products!$A$4:$B$103,2,FALSE),"")</f>
        <v/>
      </c>
      <c r="F189" s="15"/>
      <c r="G189" s="15"/>
      <c r="H189" s="15"/>
      <c r="I189" s="15"/>
      <c r="J189" s="16"/>
      <c r="K189" s="10" t="str">
        <f t="shared" si="5"/>
        <v/>
      </c>
    </row>
    <row r="190" spans="1:11">
      <c r="A190" s="15"/>
      <c r="B190" s="18"/>
      <c r="C190" s="15"/>
      <c r="D190" s="15"/>
      <c r="E190" s="8" t="str">
        <f>IFERROR(VLOOKUP(D190,Products!$A$4:$B$103,2,FALSE),"")</f>
        <v/>
      </c>
      <c r="F190" s="15"/>
      <c r="G190" s="15"/>
      <c r="H190" s="15"/>
      <c r="I190" s="15"/>
      <c r="J190" s="16"/>
      <c r="K190" s="10" t="str">
        <f t="shared" si="5"/>
        <v/>
      </c>
    </row>
    <row r="191" spans="1:11">
      <c r="A191" s="15"/>
      <c r="B191" s="18"/>
      <c r="C191" s="15"/>
      <c r="D191" s="15"/>
      <c r="E191" s="8" t="str">
        <f>IFERROR(VLOOKUP(D191,Products!$A$4:$B$103,2,FALSE),"")</f>
        <v/>
      </c>
      <c r="F191" s="15"/>
      <c r="G191" s="15"/>
      <c r="H191" s="15"/>
      <c r="I191" s="15"/>
      <c r="J191" s="16"/>
      <c r="K191" s="10" t="str">
        <f t="shared" si="5"/>
        <v/>
      </c>
    </row>
    <row r="192" spans="1:11">
      <c r="A192" s="15"/>
      <c r="B192" s="18"/>
      <c r="C192" s="15"/>
      <c r="D192" s="15"/>
      <c r="E192" s="8" t="str">
        <f>IFERROR(VLOOKUP(D192,Products!$A$4:$B$103,2,FALSE),"")</f>
        <v/>
      </c>
      <c r="F192" s="15"/>
      <c r="G192" s="15"/>
      <c r="H192" s="15"/>
      <c r="I192" s="15"/>
      <c r="J192" s="16"/>
      <c r="K192" s="10" t="str">
        <f t="shared" si="5"/>
        <v/>
      </c>
    </row>
    <row r="193" spans="1:11">
      <c r="A193" s="15"/>
      <c r="B193" s="18"/>
      <c r="C193" s="15"/>
      <c r="D193" s="15"/>
      <c r="E193" s="8" t="str">
        <f>IFERROR(VLOOKUP(D193,Products!$A$4:$B$103,2,FALSE),"")</f>
        <v/>
      </c>
      <c r="F193" s="15"/>
      <c r="G193" s="15"/>
      <c r="H193" s="15"/>
      <c r="I193" s="15"/>
      <c r="J193" s="16"/>
      <c r="K193" s="10" t="str">
        <f t="shared" si="5"/>
        <v/>
      </c>
    </row>
    <row r="194" spans="1:11">
      <c r="A194" s="15"/>
      <c r="B194" s="18"/>
      <c r="C194" s="15"/>
      <c r="D194" s="15"/>
      <c r="E194" s="8" t="str">
        <f>IFERROR(VLOOKUP(D194,Products!$A$4:$B$103,2,FALSE),"")</f>
        <v/>
      </c>
      <c r="F194" s="15"/>
      <c r="G194" s="15"/>
      <c r="H194" s="15"/>
      <c r="I194" s="15"/>
      <c r="J194" s="16"/>
      <c r="K194" s="10" t="str">
        <f t="shared" si="5"/>
        <v/>
      </c>
    </row>
    <row r="195" spans="1:11">
      <c r="A195" s="15"/>
      <c r="B195" s="18"/>
      <c r="C195" s="15"/>
      <c r="D195" s="15"/>
      <c r="E195" s="8" t="str">
        <f>IFERROR(VLOOKUP(D195,Products!$A$4:$B$103,2,FALSE),"")</f>
        <v/>
      </c>
      <c r="F195" s="15"/>
      <c r="G195" s="15"/>
      <c r="H195" s="15"/>
      <c r="I195" s="15"/>
      <c r="J195" s="16"/>
      <c r="K195" s="10" t="str">
        <f t="shared" si="5"/>
        <v/>
      </c>
    </row>
    <row r="196" spans="1:11">
      <c r="A196" s="15"/>
      <c r="B196" s="18"/>
      <c r="C196" s="15"/>
      <c r="D196" s="15"/>
      <c r="E196" s="8" t="str">
        <f>IFERROR(VLOOKUP(D196,Products!$A$4:$B$103,2,FALSE),"")</f>
        <v/>
      </c>
      <c r="F196" s="15"/>
      <c r="G196" s="15"/>
      <c r="H196" s="15"/>
      <c r="I196" s="15"/>
      <c r="J196" s="16"/>
      <c r="K196" s="10" t="str">
        <f t="shared" ref="K196:K203" si="6">IF(OR(F196="",J196=""),"",F196*J196)</f>
        <v/>
      </c>
    </row>
    <row r="197" spans="1:11">
      <c r="A197" s="15"/>
      <c r="B197" s="18"/>
      <c r="C197" s="15"/>
      <c r="D197" s="15"/>
      <c r="E197" s="8" t="str">
        <f>IFERROR(VLOOKUP(D197,Products!$A$4:$B$103,2,FALSE),"")</f>
        <v/>
      </c>
      <c r="F197" s="15"/>
      <c r="G197" s="15"/>
      <c r="H197" s="15"/>
      <c r="I197" s="15"/>
      <c r="J197" s="16"/>
      <c r="K197" s="10" t="str">
        <f t="shared" si="6"/>
        <v/>
      </c>
    </row>
    <row r="198" spans="1:11">
      <c r="A198" s="15"/>
      <c r="B198" s="18"/>
      <c r="C198" s="15"/>
      <c r="D198" s="15"/>
      <c r="E198" s="8" t="str">
        <f>IFERROR(VLOOKUP(D198,Products!$A$4:$B$103,2,FALSE),"")</f>
        <v/>
      </c>
      <c r="F198" s="15"/>
      <c r="G198" s="15"/>
      <c r="H198" s="15"/>
      <c r="I198" s="15"/>
      <c r="J198" s="16"/>
      <c r="K198" s="10" t="str">
        <f t="shared" si="6"/>
        <v/>
      </c>
    </row>
    <row r="199" spans="1:11">
      <c r="A199" s="15"/>
      <c r="B199" s="18"/>
      <c r="C199" s="15"/>
      <c r="D199" s="15"/>
      <c r="E199" s="8" t="str">
        <f>IFERROR(VLOOKUP(D199,Products!$A$4:$B$103,2,FALSE),"")</f>
        <v/>
      </c>
      <c r="F199" s="15"/>
      <c r="G199" s="15"/>
      <c r="H199" s="15"/>
      <c r="I199" s="15"/>
      <c r="J199" s="16"/>
      <c r="K199" s="10" t="str">
        <f t="shared" si="6"/>
        <v/>
      </c>
    </row>
    <row r="200" spans="1:11">
      <c r="A200" s="15"/>
      <c r="B200" s="18"/>
      <c r="C200" s="15"/>
      <c r="D200" s="15"/>
      <c r="E200" s="8" t="str">
        <f>IFERROR(VLOOKUP(D200,Products!$A$4:$B$103,2,FALSE),"")</f>
        <v/>
      </c>
      <c r="F200" s="15"/>
      <c r="G200" s="15"/>
      <c r="H200" s="15"/>
      <c r="I200" s="15"/>
      <c r="J200" s="16"/>
      <c r="K200" s="10" t="str">
        <f t="shared" si="6"/>
        <v/>
      </c>
    </row>
    <row r="201" spans="1:11">
      <c r="A201" s="15"/>
      <c r="B201" s="18"/>
      <c r="C201" s="15"/>
      <c r="D201" s="15"/>
      <c r="E201" s="8" t="str">
        <f>IFERROR(VLOOKUP(D201,Products!$A$4:$B$103,2,FALSE),"")</f>
        <v/>
      </c>
      <c r="F201" s="15"/>
      <c r="G201" s="15"/>
      <c r="H201" s="15"/>
      <c r="I201" s="15"/>
      <c r="J201" s="16"/>
      <c r="K201" s="10" t="str">
        <f t="shared" si="6"/>
        <v/>
      </c>
    </row>
    <row r="202" spans="1:11">
      <c r="A202" s="15"/>
      <c r="B202" s="18"/>
      <c r="C202" s="15"/>
      <c r="D202" s="15"/>
      <c r="E202" s="8" t="str">
        <f>IFERROR(VLOOKUP(D202,Products!$A$4:$B$103,2,FALSE),"")</f>
        <v/>
      </c>
      <c r="F202" s="15"/>
      <c r="G202" s="15"/>
      <c r="H202" s="15"/>
      <c r="I202" s="15"/>
      <c r="J202" s="16"/>
      <c r="K202" s="10" t="str">
        <f t="shared" si="6"/>
        <v/>
      </c>
    </row>
    <row r="203" spans="1:11">
      <c r="A203" s="15"/>
      <c r="B203" s="18"/>
      <c r="C203" s="15"/>
      <c r="D203" s="15"/>
      <c r="E203" s="8" t="str">
        <f>IFERROR(VLOOKUP(D203,Products!$A$4:$B$103,2,FALSE),"")</f>
        <v/>
      </c>
      <c r="F203" s="15"/>
      <c r="G203" s="15"/>
      <c r="H203" s="15"/>
      <c r="I203" s="15"/>
      <c r="J203" s="16"/>
      <c r="K203" s="10" t="str">
        <f t="shared" si="6"/>
        <v/>
      </c>
    </row>
  </sheetData>
  <sheetProtection algorithmName="SHA-512" hashValue="IH3rSj3KTl3AVs9bPUgJ8red561DBptwYMfDd7mBM8HK1eSt7cBgQbvwCLhKe/bDnNWD6j2aWLDn2aDl/4gwsg==" saltValue="La78J/oZu4GWzYoJ8zVMwA==" spinCount="100000" sheet="1" objects="1" scenarios="1"/>
  <mergeCells count="1">
    <mergeCell ref="A1:K1"/>
  </mergeCells>
  <conditionalFormatting sqref="I4:I203">
    <cfRule type="expression" dxfId="2" priority="2">
      <formula>I4="Ordered"</formula>
    </cfRule>
    <cfRule type="expression" dxfId="1" priority="3">
      <formula>I4="Received"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Lists!$B$4:$B$8</xm:f>
          </x14:formula1>
          <xm:sqref>C4:C203</xm:sqref>
        </x14:dataValidation>
        <x14:dataValidation type="list" allowBlank="1" xr:uid="{00000000-0002-0000-0400-000001000000}">
          <x14:formula1>
            <xm:f>Products!$A$4:$A$103</xm:f>
          </x14:formula1>
          <xm:sqref>D4:D203</xm:sqref>
        </x14:dataValidation>
        <x14:dataValidation type="list" allowBlank="1" showInputMessage="1" showErrorMessage="1" xr:uid="{F4E896B0-753C-44E4-8D79-708B0D785491}">
          <x14:formula1>
            <xm:f>Lists!$D$4:$D$52</xm:f>
          </x14:formula1>
          <xm:sqref>I4:I203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3"/>
  <sheetViews>
    <sheetView workbookViewId="0">
      <selection activeCell="O33" sqref="O33"/>
    </sheetView>
  </sheetViews>
  <sheetFormatPr defaultRowHeight="13.8"/>
  <cols>
    <col min="1" max="1" width="13" style="8" customWidth="1"/>
    <col min="2" max="2" width="25" style="8" customWidth="1"/>
    <col min="3" max="3" width="18" style="8" customWidth="1"/>
    <col min="4" max="6" width="12" style="8" customWidth="1"/>
    <col min="7" max="7" width="13" customWidth="1"/>
    <col min="8" max="8" width="12" style="8" customWidth="1"/>
  </cols>
  <sheetData>
    <row r="1" spans="1:8" ht="24" customHeight="1">
      <c r="A1" s="22" t="s">
        <v>179</v>
      </c>
      <c r="B1" s="22"/>
      <c r="C1" s="22"/>
      <c r="D1" s="22"/>
      <c r="E1" s="22"/>
      <c r="F1" s="22"/>
      <c r="G1" s="22"/>
      <c r="H1" s="22"/>
    </row>
    <row r="3" spans="1:8" ht="20.85" customHeight="1">
      <c r="A3" s="9" t="s">
        <v>68</v>
      </c>
      <c r="B3" s="9" t="s">
        <v>69</v>
      </c>
      <c r="C3" s="9" t="s">
        <v>73</v>
      </c>
      <c r="D3" s="9" t="s">
        <v>125</v>
      </c>
      <c r="E3" s="1" t="s">
        <v>128</v>
      </c>
      <c r="F3" s="11" t="s">
        <v>129</v>
      </c>
      <c r="G3" s="1" t="s">
        <v>126</v>
      </c>
      <c r="H3" s="9" t="s">
        <v>127</v>
      </c>
    </row>
    <row r="4" spans="1:8">
      <c r="A4" s="8" t="str">
        <f>IF(Products!A4="","",Products!A4)</f>
        <v>ITM1001</v>
      </c>
      <c r="B4" s="8" t="str">
        <f>IF(Products!B4="","",Products!B4)</f>
        <v>Copy Paper, Letter</v>
      </c>
      <c r="C4" s="8" t="str">
        <f>IF(Products!F4="","",Products!F4)</f>
        <v>Main Warehouse</v>
      </c>
      <c r="D4" s="8">
        <f>IF(A4="","",Products!M4)</f>
        <v>34</v>
      </c>
      <c r="E4" s="19">
        <v>46204</v>
      </c>
      <c r="F4" s="20" t="s">
        <v>192</v>
      </c>
      <c r="G4" s="20">
        <v>34</v>
      </c>
      <c r="H4" s="8">
        <f t="shared" ref="H4:H35" si="0">IF(G4="","",G4-D4)</f>
        <v>0</v>
      </c>
    </row>
    <row r="5" spans="1:8">
      <c r="A5" s="8" t="str">
        <f>IF(Products!A5="","",Products!A5)</f>
        <v>ITM1002</v>
      </c>
      <c r="B5" s="8" t="str">
        <f>IF(Products!B5="","",Products!B5)</f>
        <v>Blue Ballpoint Pens</v>
      </c>
      <c r="C5" s="8" t="str">
        <f>IF(Products!F5="","",Products!F5)</f>
        <v>Supply Closet</v>
      </c>
      <c r="D5" s="8">
        <f>IF(A5="","",Products!M5)</f>
        <v>10</v>
      </c>
      <c r="E5" s="19">
        <v>46204</v>
      </c>
      <c r="F5" s="20" t="s">
        <v>192</v>
      </c>
      <c r="G5" s="20">
        <v>8</v>
      </c>
      <c r="H5" s="8">
        <f t="shared" si="0"/>
        <v>-2</v>
      </c>
    </row>
    <row r="6" spans="1:8">
      <c r="A6" s="8" t="str">
        <f>IF(Products!A6="","",Products!A6)</f>
        <v>ITM1003</v>
      </c>
      <c r="B6" s="8" t="str">
        <f>IF(Products!B6="","",Products!B6)</f>
        <v>USB Keyboard</v>
      </c>
      <c r="C6" s="8" t="str">
        <f>IF(Products!F6="","",Products!F6)</f>
        <v>IT Storage</v>
      </c>
      <c r="D6" s="8">
        <f>IF(A6="","",Products!M6)</f>
        <v>12</v>
      </c>
      <c r="E6" s="19">
        <v>46204</v>
      </c>
      <c r="F6" s="20" t="s">
        <v>192</v>
      </c>
      <c r="G6" s="20">
        <v>12</v>
      </c>
      <c r="H6" s="8">
        <f t="shared" si="0"/>
        <v>0</v>
      </c>
    </row>
    <row r="7" spans="1:8">
      <c r="A7" s="8" t="str">
        <f>IF(Products!A7="","",Products!A7)</f>
        <v>ITM1004</v>
      </c>
      <c r="B7" s="8" t="str">
        <f>IF(Products!B7="","",Products!B7)</f>
        <v>Wireless Mouse</v>
      </c>
      <c r="C7" s="8" t="str">
        <f>IF(Products!F7="","",Products!F7)</f>
        <v>IT Storage</v>
      </c>
      <c r="D7" s="8">
        <f>IF(A7="","",Products!M7)</f>
        <v>14</v>
      </c>
      <c r="E7" s="19">
        <v>46204</v>
      </c>
      <c r="F7" s="20" t="s">
        <v>192</v>
      </c>
      <c r="G7" s="20">
        <v>14</v>
      </c>
      <c r="H7" s="8">
        <f t="shared" si="0"/>
        <v>0</v>
      </c>
    </row>
    <row r="8" spans="1:8">
      <c r="A8" s="8" t="str">
        <f>IF(Products!A8="","",Products!A8)</f>
        <v>ITM1005</v>
      </c>
      <c r="B8" s="8" t="str">
        <f>IF(Products!B8="","",Products!B8)</f>
        <v>All-Purpose Cleaner</v>
      </c>
      <c r="C8" s="8" t="str">
        <f>IF(Products!F8="","",Products!F8)</f>
        <v>Main Warehouse</v>
      </c>
      <c r="D8" s="8">
        <f>IF(A8="","",Products!M8)</f>
        <v>9</v>
      </c>
      <c r="E8" s="19">
        <v>46204</v>
      </c>
      <c r="F8" s="20" t="s">
        <v>192</v>
      </c>
      <c r="G8" s="20">
        <v>9</v>
      </c>
      <c r="H8" s="8">
        <f t="shared" si="0"/>
        <v>0</v>
      </c>
    </row>
    <row r="9" spans="1:8">
      <c r="A9" s="8" t="str">
        <f>IF(Products!A9="","",Products!A9)</f>
        <v>ITM1006</v>
      </c>
      <c r="B9" s="8" t="str">
        <f>IF(Products!B9="","",Products!B9)</f>
        <v>Paper Towels</v>
      </c>
      <c r="C9" s="8" t="str">
        <f>IF(Products!F9="","",Products!F9)</f>
        <v>Main Warehouse</v>
      </c>
      <c r="D9" s="8">
        <f>IF(A9="","",Products!M9)</f>
        <v>14</v>
      </c>
      <c r="E9" s="19">
        <v>46204</v>
      </c>
      <c r="F9" s="20" t="s">
        <v>192</v>
      </c>
      <c r="G9" s="20">
        <v>0</v>
      </c>
      <c r="H9" s="8">
        <f t="shared" si="0"/>
        <v>-14</v>
      </c>
    </row>
    <row r="10" spans="1:8">
      <c r="A10" s="8" t="str">
        <f>IF(Products!A10="","",Products!A10)</f>
        <v>ITM1007</v>
      </c>
      <c r="B10" s="8" t="str">
        <f>IF(Products!B10="","",Products!B10)</f>
        <v>Coffee Pods</v>
      </c>
      <c r="C10" s="8" t="str">
        <f>IF(Products!F10="","",Products!F10)</f>
        <v>Front Office</v>
      </c>
      <c r="D10" s="8">
        <f>IF(A10="","",Products!M10)</f>
        <v>6</v>
      </c>
      <c r="E10" s="19">
        <v>46204</v>
      </c>
      <c r="F10" s="20" t="s">
        <v>192</v>
      </c>
      <c r="G10" s="20">
        <v>6</v>
      </c>
      <c r="H10" s="8">
        <f t="shared" si="0"/>
        <v>0</v>
      </c>
    </row>
    <row r="11" spans="1:8">
      <c r="A11" s="8" t="str">
        <f>IF(Products!A11="","",Products!A11)</f>
        <v>ITM1008</v>
      </c>
      <c r="B11" s="8" t="str">
        <f>IF(Products!B11="","",Products!B11)</f>
        <v>Packing Tape</v>
      </c>
      <c r="C11" s="8" t="str">
        <f>IF(Products!F11="","",Products!F11)</f>
        <v>Main Warehouse</v>
      </c>
      <c r="D11" s="8">
        <f>IF(A11="","",Products!M11)</f>
        <v>4</v>
      </c>
      <c r="E11" s="19">
        <v>46204</v>
      </c>
      <c r="F11" s="20" t="s">
        <v>192</v>
      </c>
      <c r="G11" s="20">
        <v>5</v>
      </c>
      <c r="H11" s="8">
        <f t="shared" si="0"/>
        <v>1</v>
      </c>
    </row>
    <row r="12" spans="1:8">
      <c r="A12" s="8" t="str">
        <f>IF(Products!A12="","",Products!A12)</f>
        <v/>
      </c>
      <c r="B12" s="8" t="str">
        <f>IF(Products!B12="","",Products!B12)</f>
        <v/>
      </c>
      <c r="C12" s="8" t="str">
        <f>IF(Products!F12="","",Products!F12)</f>
        <v/>
      </c>
      <c r="D12" s="8" t="str">
        <f>IF(A12="","",Products!M12)</f>
        <v/>
      </c>
      <c r="E12" s="19"/>
      <c r="F12" s="20"/>
      <c r="G12" s="20"/>
      <c r="H12" s="8" t="str">
        <f t="shared" si="0"/>
        <v/>
      </c>
    </row>
    <row r="13" spans="1:8">
      <c r="A13" s="8" t="str">
        <f>IF(Products!A13="","",Products!A13)</f>
        <v/>
      </c>
      <c r="B13" s="8" t="str">
        <f>IF(Products!B13="","",Products!B13)</f>
        <v/>
      </c>
      <c r="C13" s="8" t="str">
        <f>IF(Products!F13="","",Products!F13)</f>
        <v/>
      </c>
      <c r="D13" s="8" t="str">
        <f>IF(A13="","",Products!M13)</f>
        <v/>
      </c>
      <c r="E13" s="19"/>
      <c r="F13" s="20"/>
      <c r="G13" s="20"/>
      <c r="H13" s="8" t="str">
        <f t="shared" si="0"/>
        <v/>
      </c>
    </row>
    <row r="14" spans="1:8">
      <c r="A14" s="8" t="str">
        <f>IF(Products!A14="","",Products!A14)</f>
        <v/>
      </c>
      <c r="B14" s="8" t="str">
        <f>IF(Products!B14="","",Products!B14)</f>
        <v/>
      </c>
      <c r="C14" s="8" t="str">
        <f>IF(Products!F14="","",Products!F14)</f>
        <v/>
      </c>
      <c r="D14" s="8" t="str">
        <f>IF(A14="","",Products!M14)</f>
        <v/>
      </c>
      <c r="E14" s="19"/>
      <c r="F14" s="20"/>
      <c r="G14" s="20"/>
      <c r="H14" s="8" t="str">
        <f t="shared" si="0"/>
        <v/>
      </c>
    </row>
    <row r="15" spans="1:8">
      <c r="A15" s="8" t="str">
        <f>IF(Products!A15="","",Products!A15)</f>
        <v/>
      </c>
      <c r="B15" s="8" t="str">
        <f>IF(Products!B15="","",Products!B15)</f>
        <v/>
      </c>
      <c r="C15" s="8" t="str">
        <f>IF(Products!F15="","",Products!F15)</f>
        <v/>
      </c>
      <c r="D15" s="8" t="str">
        <f>IF(A15="","",Products!M15)</f>
        <v/>
      </c>
      <c r="E15" s="19"/>
      <c r="F15" s="20"/>
      <c r="G15" s="20"/>
      <c r="H15" s="8" t="str">
        <f t="shared" si="0"/>
        <v/>
      </c>
    </row>
    <row r="16" spans="1:8">
      <c r="A16" s="8" t="str">
        <f>IF(Products!A16="","",Products!A16)</f>
        <v/>
      </c>
      <c r="B16" s="8" t="str">
        <f>IF(Products!B16="","",Products!B16)</f>
        <v/>
      </c>
      <c r="C16" s="8" t="str">
        <f>IF(Products!F16="","",Products!F16)</f>
        <v/>
      </c>
      <c r="D16" s="8" t="str">
        <f>IF(A16="","",Products!M16)</f>
        <v/>
      </c>
      <c r="E16" s="19"/>
      <c r="F16" s="20"/>
      <c r="G16" s="20"/>
      <c r="H16" s="8" t="str">
        <f t="shared" si="0"/>
        <v/>
      </c>
    </row>
    <row r="17" spans="1:8">
      <c r="A17" s="8" t="str">
        <f>IF(Products!A17="","",Products!A17)</f>
        <v/>
      </c>
      <c r="B17" s="8" t="str">
        <f>IF(Products!B17="","",Products!B17)</f>
        <v/>
      </c>
      <c r="C17" s="8" t="str">
        <f>IF(Products!F17="","",Products!F17)</f>
        <v/>
      </c>
      <c r="D17" s="8" t="str">
        <f>IF(A17="","",Products!M17)</f>
        <v/>
      </c>
      <c r="E17" s="19"/>
      <c r="F17" s="20"/>
      <c r="G17" s="20"/>
      <c r="H17" s="8" t="str">
        <f t="shared" si="0"/>
        <v/>
      </c>
    </row>
    <row r="18" spans="1:8">
      <c r="A18" s="8" t="str">
        <f>IF(Products!A18="","",Products!A18)</f>
        <v/>
      </c>
      <c r="B18" s="8" t="str">
        <f>IF(Products!B18="","",Products!B18)</f>
        <v/>
      </c>
      <c r="C18" s="8" t="str">
        <f>IF(Products!F18="","",Products!F18)</f>
        <v/>
      </c>
      <c r="D18" s="8" t="str">
        <f>IF(A18="","",Products!M18)</f>
        <v/>
      </c>
      <c r="E18" s="19"/>
      <c r="F18" s="20" t="s">
        <v>177</v>
      </c>
      <c r="G18" s="20"/>
      <c r="H18" s="8" t="str">
        <f t="shared" si="0"/>
        <v/>
      </c>
    </row>
    <row r="19" spans="1:8">
      <c r="A19" s="8" t="str">
        <f>IF(Products!A19="","",Products!A19)</f>
        <v/>
      </c>
      <c r="B19" s="8" t="str">
        <f>IF(Products!B19="","",Products!B19)</f>
        <v/>
      </c>
      <c r="C19" s="8" t="str">
        <f>IF(Products!F19="","",Products!F19)</f>
        <v/>
      </c>
      <c r="D19" s="8" t="str">
        <f>IF(A19="","",Products!M19)</f>
        <v/>
      </c>
      <c r="E19" s="19"/>
      <c r="F19" s="20"/>
      <c r="G19" s="20"/>
      <c r="H19" s="8" t="str">
        <f t="shared" si="0"/>
        <v/>
      </c>
    </row>
    <row r="20" spans="1:8">
      <c r="A20" s="8" t="str">
        <f>IF(Products!A20="","",Products!A20)</f>
        <v/>
      </c>
      <c r="B20" s="8" t="str">
        <f>IF(Products!B20="","",Products!B20)</f>
        <v/>
      </c>
      <c r="C20" s="8" t="str">
        <f>IF(Products!F20="","",Products!F20)</f>
        <v/>
      </c>
      <c r="D20" s="8" t="str">
        <f>IF(A20="","",Products!M20)</f>
        <v/>
      </c>
      <c r="E20" s="19"/>
      <c r="F20" s="20"/>
      <c r="G20" s="20"/>
      <c r="H20" s="8" t="str">
        <f t="shared" si="0"/>
        <v/>
      </c>
    </row>
    <row r="21" spans="1:8">
      <c r="A21" s="8" t="str">
        <f>IF(Products!A21="","",Products!A21)</f>
        <v/>
      </c>
      <c r="B21" s="8" t="str">
        <f>IF(Products!B21="","",Products!B21)</f>
        <v/>
      </c>
      <c r="C21" s="8" t="str">
        <f>IF(Products!F21="","",Products!F21)</f>
        <v/>
      </c>
      <c r="D21" s="8" t="str">
        <f>IF(A21="","",Products!M21)</f>
        <v/>
      </c>
      <c r="E21" s="19"/>
      <c r="F21" s="20"/>
      <c r="G21" s="20"/>
      <c r="H21" s="8" t="str">
        <f t="shared" si="0"/>
        <v/>
      </c>
    </row>
    <row r="22" spans="1:8">
      <c r="A22" s="8" t="str">
        <f>IF(Products!A22="","",Products!A22)</f>
        <v/>
      </c>
      <c r="B22" s="8" t="str">
        <f>IF(Products!B22="","",Products!B22)</f>
        <v/>
      </c>
      <c r="C22" s="8" t="str">
        <f>IF(Products!F22="","",Products!F22)</f>
        <v/>
      </c>
      <c r="D22" s="8" t="str">
        <f>IF(A22="","",Products!M22)</f>
        <v/>
      </c>
      <c r="E22" s="19"/>
      <c r="F22" s="20"/>
      <c r="G22" s="20"/>
      <c r="H22" s="8" t="str">
        <f t="shared" si="0"/>
        <v/>
      </c>
    </row>
    <row r="23" spans="1:8">
      <c r="A23" s="8" t="str">
        <f>IF(Products!A23="","",Products!A23)</f>
        <v/>
      </c>
      <c r="B23" s="8" t="str">
        <f>IF(Products!B23="","",Products!B23)</f>
        <v/>
      </c>
      <c r="C23" s="8" t="str">
        <f>IF(Products!F23="","",Products!F23)</f>
        <v/>
      </c>
      <c r="D23" s="8" t="str">
        <f>IF(A23="","",Products!M23)</f>
        <v/>
      </c>
      <c r="E23" s="19"/>
      <c r="F23" s="20"/>
      <c r="G23" s="20"/>
      <c r="H23" s="8" t="str">
        <f t="shared" si="0"/>
        <v/>
      </c>
    </row>
    <row r="24" spans="1:8">
      <c r="A24" s="8" t="str">
        <f>IF(Products!A24="","",Products!A24)</f>
        <v/>
      </c>
      <c r="B24" s="8" t="str">
        <f>IF(Products!B24="","",Products!B24)</f>
        <v/>
      </c>
      <c r="C24" s="8" t="str">
        <f>IF(Products!F24="","",Products!F24)</f>
        <v/>
      </c>
      <c r="D24" s="8" t="str">
        <f>IF(A24="","",Products!M24)</f>
        <v/>
      </c>
      <c r="E24" s="19"/>
      <c r="F24" s="20"/>
      <c r="G24" s="20"/>
      <c r="H24" s="8" t="str">
        <f t="shared" si="0"/>
        <v/>
      </c>
    </row>
    <row r="25" spans="1:8">
      <c r="A25" s="8" t="str">
        <f>IF(Products!A25="","",Products!A25)</f>
        <v/>
      </c>
      <c r="B25" s="8" t="str">
        <f>IF(Products!B25="","",Products!B25)</f>
        <v/>
      </c>
      <c r="C25" s="8" t="str">
        <f>IF(Products!F25="","",Products!F25)</f>
        <v/>
      </c>
      <c r="D25" s="8" t="str">
        <f>IF(A25="","",Products!M25)</f>
        <v/>
      </c>
      <c r="E25" s="19"/>
      <c r="F25" s="20"/>
      <c r="G25" s="20"/>
      <c r="H25" s="8" t="str">
        <f t="shared" si="0"/>
        <v/>
      </c>
    </row>
    <row r="26" spans="1:8">
      <c r="A26" s="8" t="str">
        <f>IF(Products!A26="","",Products!A26)</f>
        <v/>
      </c>
      <c r="B26" s="8" t="str">
        <f>IF(Products!B26="","",Products!B26)</f>
        <v/>
      </c>
      <c r="C26" s="8" t="str">
        <f>IF(Products!F26="","",Products!F26)</f>
        <v/>
      </c>
      <c r="D26" s="8" t="str">
        <f>IF(A26="","",Products!M26)</f>
        <v/>
      </c>
      <c r="E26" s="19"/>
      <c r="F26" s="20"/>
      <c r="G26" s="20"/>
      <c r="H26" s="8" t="str">
        <f t="shared" si="0"/>
        <v/>
      </c>
    </row>
    <row r="27" spans="1:8">
      <c r="A27" s="8" t="str">
        <f>IF(Products!A27="","",Products!A27)</f>
        <v/>
      </c>
      <c r="B27" s="8" t="str">
        <f>IF(Products!B27="","",Products!B27)</f>
        <v/>
      </c>
      <c r="C27" s="8" t="str">
        <f>IF(Products!F27="","",Products!F27)</f>
        <v/>
      </c>
      <c r="D27" s="8" t="str">
        <f>IF(A27="","",Products!M27)</f>
        <v/>
      </c>
      <c r="E27" s="19"/>
      <c r="F27" s="20"/>
      <c r="G27" s="20"/>
      <c r="H27" s="8" t="str">
        <f t="shared" si="0"/>
        <v/>
      </c>
    </row>
    <row r="28" spans="1:8">
      <c r="A28" s="8" t="str">
        <f>IF(Products!A28="","",Products!A28)</f>
        <v/>
      </c>
      <c r="B28" s="8" t="str">
        <f>IF(Products!B28="","",Products!B28)</f>
        <v/>
      </c>
      <c r="C28" s="8" t="str">
        <f>IF(Products!F28="","",Products!F28)</f>
        <v/>
      </c>
      <c r="D28" s="8" t="str">
        <f>IF(A28="","",Products!M28)</f>
        <v/>
      </c>
      <c r="E28" s="19"/>
      <c r="F28" s="20"/>
      <c r="G28" s="20"/>
      <c r="H28" s="8" t="str">
        <f t="shared" si="0"/>
        <v/>
      </c>
    </row>
    <row r="29" spans="1:8">
      <c r="A29" s="8" t="str">
        <f>IF(Products!A29="","",Products!A29)</f>
        <v/>
      </c>
      <c r="B29" s="8" t="str">
        <f>IF(Products!B29="","",Products!B29)</f>
        <v/>
      </c>
      <c r="C29" s="8" t="str">
        <f>IF(Products!F29="","",Products!F29)</f>
        <v/>
      </c>
      <c r="D29" s="8" t="str">
        <f>IF(A29="","",Products!M29)</f>
        <v/>
      </c>
      <c r="E29" s="19"/>
      <c r="F29" s="20"/>
      <c r="G29" s="20"/>
      <c r="H29" s="8" t="str">
        <f t="shared" si="0"/>
        <v/>
      </c>
    </row>
    <row r="30" spans="1:8">
      <c r="A30" s="8" t="str">
        <f>IF(Products!A30="","",Products!A30)</f>
        <v/>
      </c>
      <c r="B30" s="8" t="str">
        <f>IF(Products!B30="","",Products!B30)</f>
        <v/>
      </c>
      <c r="C30" s="8" t="str">
        <f>IF(Products!F30="","",Products!F30)</f>
        <v/>
      </c>
      <c r="D30" s="8" t="str">
        <f>IF(A30="","",Products!M30)</f>
        <v/>
      </c>
      <c r="E30" s="19"/>
      <c r="F30" s="20"/>
      <c r="G30" s="20"/>
      <c r="H30" s="8" t="str">
        <f t="shared" si="0"/>
        <v/>
      </c>
    </row>
    <row r="31" spans="1:8">
      <c r="A31" s="8" t="str">
        <f>IF(Products!A31="","",Products!A31)</f>
        <v/>
      </c>
      <c r="B31" s="8" t="str">
        <f>IF(Products!B31="","",Products!B31)</f>
        <v/>
      </c>
      <c r="C31" s="8" t="str">
        <f>IF(Products!F31="","",Products!F31)</f>
        <v/>
      </c>
      <c r="D31" s="8" t="str">
        <f>IF(A31="","",Products!M31)</f>
        <v/>
      </c>
      <c r="E31" s="19"/>
      <c r="F31" s="20"/>
      <c r="G31" s="20"/>
      <c r="H31" s="8" t="str">
        <f t="shared" si="0"/>
        <v/>
      </c>
    </row>
    <row r="32" spans="1:8">
      <c r="A32" s="8" t="str">
        <f>IF(Products!A32="","",Products!A32)</f>
        <v/>
      </c>
      <c r="B32" s="8" t="str">
        <f>IF(Products!B32="","",Products!B32)</f>
        <v/>
      </c>
      <c r="C32" s="8" t="str">
        <f>IF(Products!F32="","",Products!F32)</f>
        <v/>
      </c>
      <c r="D32" s="8" t="str">
        <f>IF(A32="","",Products!M32)</f>
        <v/>
      </c>
      <c r="E32" s="19"/>
      <c r="F32" s="20"/>
      <c r="G32" s="20"/>
      <c r="H32" s="8" t="str">
        <f t="shared" si="0"/>
        <v/>
      </c>
    </row>
    <row r="33" spans="1:8">
      <c r="A33" s="8" t="str">
        <f>IF(Products!A33="","",Products!A33)</f>
        <v/>
      </c>
      <c r="B33" s="8" t="str">
        <f>IF(Products!B33="","",Products!B33)</f>
        <v/>
      </c>
      <c r="C33" s="8" t="str">
        <f>IF(Products!F33="","",Products!F33)</f>
        <v/>
      </c>
      <c r="D33" s="8" t="str">
        <f>IF(A33="","",Products!M33)</f>
        <v/>
      </c>
      <c r="E33" s="19"/>
      <c r="F33" s="20"/>
      <c r="G33" s="20"/>
      <c r="H33" s="8" t="str">
        <f t="shared" si="0"/>
        <v/>
      </c>
    </row>
    <row r="34" spans="1:8">
      <c r="A34" s="8" t="str">
        <f>IF(Products!A34="","",Products!A34)</f>
        <v/>
      </c>
      <c r="B34" s="8" t="str">
        <f>IF(Products!B34="","",Products!B34)</f>
        <v/>
      </c>
      <c r="C34" s="8" t="str">
        <f>IF(Products!F34="","",Products!F34)</f>
        <v/>
      </c>
      <c r="D34" s="8" t="str">
        <f>IF(A34="","",Products!M34)</f>
        <v/>
      </c>
      <c r="E34" s="19"/>
      <c r="F34" s="20"/>
      <c r="G34" s="20"/>
      <c r="H34" s="8" t="str">
        <f t="shared" si="0"/>
        <v/>
      </c>
    </row>
    <row r="35" spans="1:8">
      <c r="A35" s="8" t="str">
        <f>IF(Products!A35="","",Products!A35)</f>
        <v/>
      </c>
      <c r="B35" s="8" t="str">
        <f>IF(Products!B35="","",Products!B35)</f>
        <v/>
      </c>
      <c r="C35" s="8" t="str">
        <f>IF(Products!F35="","",Products!F35)</f>
        <v/>
      </c>
      <c r="D35" s="8" t="str">
        <f>IF(A35="","",Products!M35)</f>
        <v/>
      </c>
      <c r="E35" s="19"/>
      <c r="F35" s="20"/>
      <c r="G35" s="20"/>
      <c r="H35" s="8" t="str">
        <f t="shared" si="0"/>
        <v/>
      </c>
    </row>
    <row r="36" spans="1:8">
      <c r="A36" s="8" t="str">
        <f>IF(Products!A36="","",Products!A36)</f>
        <v/>
      </c>
      <c r="B36" s="8" t="str">
        <f>IF(Products!B36="","",Products!B36)</f>
        <v/>
      </c>
      <c r="C36" s="8" t="str">
        <f>IF(Products!F36="","",Products!F36)</f>
        <v/>
      </c>
      <c r="D36" s="8" t="str">
        <f>IF(A36="","",Products!M36)</f>
        <v/>
      </c>
      <c r="E36" s="19"/>
      <c r="F36" s="20"/>
      <c r="G36" s="20"/>
      <c r="H36" s="8" t="str">
        <f t="shared" ref="H36:H67" si="1">IF(G36="","",G36-D36)</f>
        <v/>
      </c>
    </row>
    <row r="37" spans="1:8">
      <c r="A37" s="8" t="str">
        <f>IF(Products!A37="","",Products!A37)</f>
        <v/>
      </c>
      <c r="B37" s="8" t="str">
        <f>IF(Products!B37="","",Products!B37)</f>
        <v/>
      </c>
      <c r="C37" s="8" t="str">
        <f>IF(Products!F37="","",Products!F37)</f>
        <v/>
      </c>
      <c r="D37" s="8" t="str">
        <f>IF(A37="","",Products!M37)</f>
        <v/>
      </c>
      <c r="E37" s="19"/>
      <c r="F37" s="20"/>
      <c r="G37" s="20"/>
      <c r="H37" s="8" t="str">
        <f t="shared" si="1"/>
        <v/>
      </c>
    </row>
    <row r="38" spans="1:8">
      <c r="A38" s="8" t="str">
        <f>IF(Products!A38="","",Products!A38)</f>
        <v/>
      </c>
      <c r="B38" s="8" t="str">
        <f>IF(Products!B38="","",Products!B38)</f>
        <v/>
      </c>
      <c r="C38" s="8" t="str">
        <f>IF(Products!F38="","",Products!F38)</f>
        <v/>
      </c>
      <c r="D38" s="8" t="str">
        <f>IF(A38="","",Products!M38)</f>
        <v/>
      </c>
      <c r="E38" s="19"/>
      <c r="F38" s="20"/>
      <c r="G38" s="20"/>
      <c r="H38" s="8" t="str">
        <f t="shared" si="1"/>
        <v/>
      </c>
    </row>
    <row r="39" spans="1:8">
      <c r="A39" s="8" t="str">
        <f>IF(Products!A39="","",Products!A39)</f>
        <v/>
      </c>
      <c r="B39" s="8" t="str">
        <f>IF(Products!B39="","",Products!B39)</f>
        <v/>
      </c>
      <c r="C39" s="8" t="str">
        <f>IF(Products!F39="","",Products!F39)</f>
        <v/>
      </c>
      <c r="D39" s="8" t="str">
        <f>IF(A39="","",Products!M39)</f>
        <v/>
      </c>
      <c r="E39" s="19"/>
      <c r="F39" s="20"/>
      <c r="G39" s="20"/>
      <c r="H39" s="8" t="str">
        <f t="shared" si="1"/>
        <v/>
      </c>
    </row>
    <row r="40" spans="1:8">
      <c r="A40" s="8" t="str">
        <f>IF(Products!A40="","",Products!A40)</f>
        <v/>
      </c>
      <c r="B40" s="8" t="str">
        <f>IF(Products!B40="","",Products!B40)</f>
        <v/>
      </c>
      <c r="C40" s="8" t="str">
        <f>IF(Products!F40="","",Products!F40)</f>
        <v/>
      </c>
      <c r="D40" s="8" t="str">
        <f>IF(A40="","",Products!M40)</f>
        <v/>
      </c>
      <c r="E40" s="19"/>
      <c r="F40" s="20"/>
      <c r="G40" s="20"/>
      <c r="H40" s="8" t="str">
        <f t="shared" si="1"/>
        <v/>
      </c>
    </row>
    <row r="41" spans="1:8">
      <c r="A41" s="8" t="str">
        <f>IF(Products!A41="","",Products!A41)</f>
        <v/>
      </c>
      <c r="B41" s="8" t="str">
        <f>IF(Products!B41="","",Products!B41)</f>
        <v/>
      </c>
      <c r="C41" s="8" t="str">
        <f>IF(Products!F41="","",Products!F41)</f>
        <v/>
      </c>
      <c r="D41" s="8" t="str">
        <f>IF(A41="","",Products!M41)</f>
        <v/>
      </c>
      <c r="E41" s="19"/>
      <c r="F41" s="20"/>
      <c r="G41" s="20"/>
      <c r="H41" s="8" t="str">
        <f t="shared" si="1"/>
        <v/>
      </c>
    </row>
    <row r="42" spans="1:8">
      <c r="A42" s="8" t="str">
        <f>IF(Products!A42="","",Products!A42)</f>
        <v/>
      </c>
      <c r="B42" s="8" t="str">
        <f>IF(Products!B42="","",Products!B42)</f>
        <v/>
      </c>
      <c r="C42" s="8" t="str">
        <f>IF(Products!F42="","",Products!F42)</f>
        <v/>
      </c>
      <c r="D42" s="8" t="str">
        <f>IF(A42="","",Products!M42)</f>
        <v/>
      </c>
      <c r="E42" s="19"/>
      <c r="F42" s="20"/>
      <c r="G42" s="20"/>
      <c r="H42" s="8" t="str">
        <f t="shared" si="1"/>
        <v/>
      </c>
    </row>
    <row r="43" spans="1:8">
      <c r="A43" s="8" t="str">
        <f>IF(Products!A43="","",Products!A43)</f>
        <v/>
      </c>
      <c r="B43" s="8" t="str">
        <f>IF(Products!B43="","",Products!B43)</f>
        <v/>
      </c>
      <c r="C43" s="8" t="str">
        <f>IF(Products!F43="","",Products!F43)</f>
        <v/>
      </c>
      <c r="D43" s="8" t="str">
        <f>IF(A43="","",Products!M43)</f>
        <v/>
      </c>
      <c r="E43" s="19"/>
      <c r="F43" s="20"/>
      <c r="G43" s="20"/>
      <c r="H43" s="8" t="str">
        <f t="shared" si="1"/>
        <v/>
      </c>
    </row>
    <row r="44" spans="1:8">
      <c r="A44" s="8" t="str">
        <f>IF(Products!A44="","",Products!A44)</f>
        <v/>
      </c>
      <c r="B44" s="8" t="str">
        <f>IF(Products!B44="","",Products!B44)</f>
        <v/>
      </c>
      <c r="C44" s="8" t="str">
        <f>IF(Products!F44="","",Products!F44)</f>
        <v/>
      </c>
      <c r="D44" s="8" t="str">
        <f>IF(A44="","",Products!M44)</f>
        <v/>
      </c>
      <c r="E44" s="19"/>
      <c r="F44" s="20"/>
      <c r="G44" s="20"/>
      <c r="H44" s="8" t="str">
        <f t="shared" si="1"/>
        <v/>
      </c>
    </row>
    <row r="45" spans="1:8">
      <c r="A45" s="8" t="str">
        <f>IF(Products!A45="","",Products!A45)</f>
        <v/>
      </c>
      <c r="B45" s="8" t="str">
        <f>IF(Products!B45="","",Products!B45)</f>
        <v/>
      </c>
      <c r="C45" s="8" t="str">
        <f>IF(Products!F45="","",Products!F45)</f>
        <v/>
      </c>
      <c r="D45" s="8" t="str">
        <f>IF(A45="","",Products!M45)</f>
        <v/>
      </c>
      <c r="E45" s="19"/>
      <c r="F45" s="20"/>
      <c r="G45" s="20"/>
      <c r="H45" s="8" t="str">
        <f t="shared" si="1"/>
        <v/>
      </c>
    </row>
    <row r="46" spans="1:8">
      <c r="A46" s="8" t="str">
        <f>IF(Products!A46="","",Products!A46)</f>
        <v/>
      </c>
      <c r="B46" s="8" t="str">
        <f>IF(Products!B46="","",Products!B46)</f>
        <v/>
      </c>
      <c r="C46" s="8" t="str">
        <f>IF(Products!F46="","",Products!F46)</f>
        <v/>
      </c>
      <c r="D46" s="8" t="str">
        <f>IF(A46="","",Products!M46)</f>
        <v/>
      </c>
      <c r="E46" s="19"/>
      <c r="F46" s="20"/>
      <c r="G46" s="20"/>
      <c r="H46" s="8" t="str">
        <f t="shared" si="1"/>
        <v/>
      </c>
    </row>
    <row r="47" spans="1:8">
      <c r="A47" s="8" t="str">
        <f>IF(Products!A47="","",Products!A47)</f>
        <v/>
      </c>
      <c r="B47" s="8" t="str">
        <f>IF(Products!B47="","",Products!B47)</f>
        <v/>
      </c>
      <c r="C47" s="8" t="str">
        <f>IF(Products!F47="","",Products!F47)</f>
        <v/>
      </c>
      <c r="D47" s="8" t="str">
        <f>IF(A47="","",Products!M47)</f>
        <v/>
      </c>
      <c r="E47" s="19"/>
      <c r="F47" s="20"/>
      <c r="G47" s="20"/>
      <c r="H47" s="8" t="str">
        <f t="shared" si="1"/>
        <v/>
      </c>
    </row>
    <row r="48" spans="1:8">
      <c r="A48" s="8" t="str">
        <f>IF(Products!A48="","",Products!A48)</f>
        <v/>
      </c>
      <c r="B48" s="8" t="str">
        <f>IF(Products!B48="","",Products!B48)</f>
        <v/>
      </c>
      <c r="C48" s="8" t="str">
        <f>IF(Products!F48="","",Products!F48)</f>
        <v/>
      </c>
      <c r="D48" s="8" t="str">
        <f>IF(A48="","",Products!M48)</f>
        <v/>
      </c>
      <c r="E48" s="19"/>
      <c r="F48" s="20"/>
      <c r="G48" s="20"/>
      <c r="H48" s="8" t="str">
        <f t="shared" si="1"/>
        <v/>
      </c>
    </row>
    <row r="49" spans="1:8">
      <c r="A49" s="8" t="str">
        <f>IF(Products!A49="","",Products!A49)</f>
        <v/>
      </c>
      <c r="B49" s="8" t="str">
        <f>IF(Products!B49="","",Products!B49)</f>
        <v/>
      </c>
      <c r="C49" s="8" t="str">
        <f>IF(Products!F49="","",Products!F49)</f>
        <v/>
      </c>
      <c r="D49" s="8" t="str">
        <f>IF(A49="","",Products!M49)</f>
        <v/>
      </c>
      <c r="E49" s="19"/>
      <c r="F49" s="20"/>
      <c r="G49" s="20"/>
      <c r="H49" s="8" t="str">
        <f t="shared" si="1"/>
        <v/>
      </c>
    </row>
    <row r="50" spans="1:8">
      <c r="A50" s="8" t="str">
        <f>IF(Products!A50="","",Products!A50)</f>
        <v/>
      </c>
      <c r="B50" s="8" t="str">
        <f>IF(Products!B50="","",Products!B50)</f>
        <v/>
      </c>
      <c r="C50" s="8" t="str">
        <f>IF(Products!F50="","",Products!F50)</f>
        <v/>
      </c>
      <c r="D50" s="8" t="str">
        <f>IF(A50="","",Products!M50)</f>
        <v/>
      </c>
      <c r="E50" s="19"/>
      <c r="F50" s="20"/>
      <c r="G50" s="20"/>
      <c r="H50" s="8" t="str">
        <f t="shared" si="1"/>
        <v/>
      </c>
    </row>
    <row r="51" spans="1:8">
      <c r="A51" s="8" t="str">
        <f>IF(Products!A51="","",Products!A51)</f>
        <v/>
      </c>
      <c r="B51" s="8" t="str">
        <f>IF(Products!B51="","",Products!B51)</f>
        <v/>
      </c>
      <c r="C51" s="8" t="str">
        <f>IF(Products!F51="","",Products!F51)</f>
        <v/>
      </c>
      <c r="D51" s="8" t="str">
        <f>IF(A51="","",Products!M51)</f>
        <v/>
      </c>
      <c r="E51" s="19"/>
      <c r="F51" s="20"/>
      <c r="G51" s="20"/>
      <c r="H51" s="8" t="str">
        <f t="shared" si="1"/>
        <v/>
      </c>
    </row>
    <row r="52" spans="1:8">
      <c r="A52" s="8" t="str">
        <f>IF(Products!A52="","",Products!A52)</f>
        <v/>
      </c>
      <c r="B52" s="8" t="str">
        <f>IF(Products!B52="","",Products!B52)</f>
        <v/>
      </c>
      <c r="C52" s="8" t="str">
        <f>IF(Products!F52="","",Products!F52)</f>
        <v/>
      </c>
      <c r="D52" s="8" t="str">
        <f>IF(A52="","",Products!M52)</f>
        <v/>
      </c>
      <c r="E52" s="19"/>
      <c r="F52" s="20"/>
      <c r="G52" s="20"/>
      <c r="H52" s="8" t="str">
        <f t="shared" si="1"/>
        <v/>
      </c>
    </row>
    <row r="53" spans="1:8">
      <c r="A53" s="8" t="str">
        <f>IF(Products!A53="","",Products!A53)</f>
        <v/>
      </c>
      <c r="B53" s="8" t="str">
        <f>IF(Products!B53="","",Products!B53)</f>
        <v/>
      </c>
      <c r="C53" s="8" t="str">
        <f>IF(Products!F53="","",Products!F53)</f>
        <v/>
      </c>
      <c r="D53" s="8" t="str">
        <f>IF(A53="","",Products!M53)</f>
        <v/>
      </c>
      <c r="E53" s="19"/>
      <c r="F53" s="20"/>
      <c r="G53" s="20"/>
      <c r="H53" s="8" t="str">
        <f t="shared" si="1"/>
        <v/>
      </c>
    </row>
    <row r="54" spans="1:8">
      <c r="A54" s="8" t="str">
        <f>IF(Products!A54="","",Products!A54)</f>
        <v/>
      </c>
      <c r="B54" s="8" t="str">
        <f>IF(Products!B54="","",Products!B54)</f>
        <v/>
      </c>
      <c r="C54" s="8" t="str">
        <f>IF(Products!F54="","",Products!F54)</f>
        <v/>
      </c>
      <c r="D54" s="8" t="str">
        <f>IF(A54="","",Products!M54)</f>
        <v/>
      </c>
      <c r="E54" s="19"/>
      <c r="F54" s="20"/>
      <c r="G54" s="20"/>
      <c r="H54" s="8" t="str">
        <f t="shared" si="1"/>
        <v/>
      </c>
    </row>
    <row r="55" spans="1:8">
      <c r="A55" s="8" t="str">
        <f>IF(Products!A55="","",Products!A55)</f>
        <v/>
      </c>
      <c r="B55" s="8" t="str">
        <f>IF(Products!B55="","",Products!B55)</f>
        <v/>
      </c>
      <c r="C55" s="8" t="str">
        <f>IF(Products!F55="","",Products!F55)</f>
        <v/>
      </c>
      <c r="D55" s="8" t="str">
        <f>IF(A55="","",Products!M55)</f>
        <v/>
      </c>
      <c r="E55" s="19"/>
      <c r="F55" s="20"/>
      <c r="G55" s="20"/>
      <c r="H55" s="8" t="str">
        <f t="shared" si="1"/>
        <v/>
      </c>
    </row>
    <row r="56" spans="1:8">
      <c r="A56" s="8" t="str">
        <f>IF(Products!A56="","",Products!A56)</f>
        <v/>
      </c>
      <c r="B56" s="8" t="str">
        <f>IF(Products!B56="","",Products!B56)</f>
        <v/>
      </c>
      <c r="C56" s="8" t="str">
        <f>IF(Products!F56="","",Products!F56)</f>
        <v/>
      </c>
      <c r="D56" s="8" t="str">
        <f>IF(A56="","",Products!M56)</f>
        <v/>
      </c>
      <c r="E56" s="19"/>
      <c r="F56" s="20"/>
      <c r="G56" s="20"/>
      <c r="H56" s="8" t="str">
        <f t="shared" si="1"/>
        <v/>
      </c>
    </row>
    <row r="57" spans="1:8">
      <c r="A57" s="8" t="str">
        <f>IF(Products!A57="","",Products!A57)</f>
        <v/>
      </c>
      <c r="B57" s="8" t="str">
        <f>IF(Products!B57="","",Products!B57)</f>
        <v/>
      </c>
      <c r="C57" s="8" t="str">
        <f>IF(Products!F57="","",Products!F57)</f>
        <v/>
      </c>
      <c r="D57" s="8" t="str">
        <f>IF(A57="","",Products!M57)</f>
        <v/>
      </c>
      <c r="E57" s="19"/>
      <c r="F57" s="20"/>
      <c r="G57" s="20"/>
      <c r="H57" s="8" t="str">
        <f t="shared" si="1"/>
        <v/>
      </c>
    </row>
    <row r="58" spans="1:8">
      <c r="A58" s="8" t="str">
        <f>IF(Products!A58="","",Products!A58)</f>
        <v/>
      </c>
      <c r="B58" s="8" t="str">
        <f>IF(Products!B58="","",Products!B58)</f>
        <v/>
      </c>
      <c r="C58" s="8" t="str">
        <f>IF(Products!F58="","",Products!F58)</f>
        <v/>
      </c>
      <c r="D58" s="8" t="str">
        <f>IF(A58="","",Products!M58)</f>
        <v/>
      </c>
      <c r="E58" s="19"/>
      <c r="F58" s="20"/>
      <c r="G58" s="20"/>
      <c r="H58" s="8" t="str">
        <f t="shared" si="1"/>
        <v/>
      </c>
    </row>
    <row r="59" spans="1:8">
      <c r="A59" s="8" t="str">
        <f>IF(Products!A59="","",Products!A59)</f>
        <v/>
      </c>
      <c r="B59" s="8" t="str">
        <f>IF(Products!B59="","",Products!B59)</f>
        <v/>
      </c>
      <c r="C59" s="8" t="str">
        <f>IF(Products!F59="","",Products!F59)</f>
        <v/>
      </c>
      <c r="D59" s="8" t="str">
        <f>IF(A59="","",Products!M59)</f>
        <v/>
      </c>
      <c r="E59" s="19"/>
      <c r="F59" s="20"/>
      <c r="G59" s="20"/>
      <c r="H59" s="8" t="str">
        <f t="shared" si="1"/>
        <v/>
      </c>
    </row>
    <row r="60" spans="1:8">
      <c r="A60" s="8" t="str">
        <f>IF(Products!A60="","",Products!A60)</f>
        <v/>
      </c>
      <c r="B60" s="8" t="str">
        <f>IF(Products!B60="","",Products!B60)</f>
        <v/>
      </c>
      <c r="C60" s="8" t="str">
        <f>IF(Products!F60="","",Products!F60)</f>
        <v/>
      </c>
      <c r="D60" s="8" t="str">
        <f>IF(A60="","",Products!M60)</f>
        <v/>
      </c>
      <c r="E60" s="19"/>
      <c r="F60" s="20"/>
      <c r="G60" s="20"/>
      <c r="H60" s="8" t="str">
        <f t="shared" si="1"/>
        <v/>
      </c>
    </row>
    <row r="61" spans="1:8">
      <c r="A61" s="8" t="str">
        <f>IF(Products!A61="","",Products!A61)</f>
        <v/>
      </c>
      <c r="B61" s="8" t="str">
        <f>IF(Products!B61="","",Products!B61)</f>
        <v/>
      </c>
      <c r="C61" s="8" t="str">
        <f>IF(Products!F61="","",Products!F61)</f>
        <v/>
      </c>
      <c r="D61" s="8" t="str">
        <f>IF(A61="","",Products!M61)</f>
        <v/>
      </c>
      <c r="E61" s="19"/>
      <c r="F61" s="20"/>
      <c r="G61" s="20"/>
      <c r="H61" s="8" t="str">
        <f t="shared" si="1"/>
        <v/>
      </c>
    </row>
    <row r="62" spans="1:8">
      <c r="A62" s="8" t="str">
        <f>IF(Products!A62="","",Products!A62)</f>
        <v/>
      </c>
      <c r="B62" s="8" t="str">
        <f>IF(Products!B62="","",Products!B62)</f>
        <v/>
      </c>
      <c r="C62" s="8" t="str">
        <f>IF(Products!F62="","",Products!F62)</f>
        <v/>
      </c>
      <c r="D62" s="8" t="str">
        <f>IF(A62="","",Products!M62)</f>
        <v/>
      </c>
      <c r="E62" s="19"/>
      <c r="F62" s="20"/>
      <c r="G62" s="20"/>
      <c r="H62" s="8" t="str">
        <f t="shared" si="1"/>
        <v/>
      </c>
    </row>
    <row r="63" spans="1:8">
      <c r="A63" s="8" t="str">
        <f>IF(Products!A63="","",Products!A63)</f>
        <v/>
      </c>
      <c r="B63" s="8" t="str">
        <f>IF(Products!B63="","",Products!B63)</f>
        <v/>
      </c>
      <c r="C63" s="8" t="str">
        <f>IF(Products!F63="","",Products!F63)</f>
        <v/>
      </c>
      <c r="D63" s="8" t="str">
        <f>IF(A63="","",Products!M63)</f>
        <v/>
      </c>
      <c r="E63" s="19"/>
      <c r="F63" s="20"/>
      <c r="G63" s="20"/>
      <c r="H63" s="8" t="str">
        <f t="shared" si="1"/>
        <v/>
      </c>
    </row>
    <row r="64" spans="1:8">
      <c r="A64" s="8" t="str">
        <f>IF(Products!A64="","",Products!A64)</f>
        <v/>
      </c>
      <c r="B64" s="8" t="str">
        <f>IF(Products!B64="","",Products!B64)</f>
        <v/>
      </c>
      <c r="C64" s="8" t="str">
        <f>IF(Products!F64="","",Products!F64)</f>
        <v/>
      </c>
      <c r="D64" s="8" t="str">
        <f>IF(A64="","",Products!M64)</f>
        <v/>
      </c>
      <c r="E64" s="19"/>
      <c r="F64" s="20"/>
      <c r="G64" s="20"/>
      <c r="H64" s="8" t="str">
        <f t="shared" si="1"/>
        <v/>
      </c>
    </row>
    <row r="65" spans="1:8">
      <c r="A65" s="8" t="str">
        <f>IF(Products!A65="","",Products!A65)</f>
        <v/>
      </c>
      <c r="B65" s="8" t="str">
        <f>IF(Products!B65="","",Products!B65)</f>
        <v/>
      </c>
      <c r="C65" s="8" t="str">
        <f>IF(Products!F65="","",Products!F65)</f>
        <v/>
      </c>
      <c r="D65" s="8" t="str">
        <f>IF(A65="","",Products!M65)</f>
        <v/>
      </c>
      <c r="E65" s="19"/>
      <c r="F65" s="20"/>
      <c r="G65" s="20"/>
      <c r="H65" s="8" t="str">
        <f t="shared" si="1"/>
        <v/>
      </c>
    </row>
    <row r="66" spans="1:8">
      <c r="A66" s="8" t="str">
        <f>IF(Products!A66="","",Products!A66)</f>
        <v/>
      </c>
      <c r="B66" s="8" t="str">
        <f>IF(Products!B66="","",Products!B66)</f>
        <v/>
      </c>
      <c r="C66" s="8" t="str">
        <f>IF(Products!F66="","",Products!F66)</f>
        <v/>
      </c>
      <c r="D66" s="8" t="str">
        <f>IF(A66="","",Products!M66)</f>
        <v/>
      </c>
      <c r="E66" s="19"/>
      <c r="F66" s="20"/>
      <c r="G66" s="20"/>
      <c r="H66" s="8" t="str">
        <f t="shared" si="1"/>
        <v/>
      </c>
    </row>
    <row r="67" spans="1:8">
      <c r="A67" s="8" t="str">
        <f>IF(Products!A67="","",Products!A67)</f>
        <v/>
      </c>
      <c r="B67" s="8" t="str">
        <f>IF(Products!B67="","",Products!B67)</f>
        <v/>
      </c>
      <c r="C67" s="8" t="str">
        <f>IF(Products!F67="","",Products!F67)</f>
        <v/>
      </c>
      <c r="D67" s="8" t="str">
        <f>IF(A67="","",Products!M67)</f>
        <v/>
      </c>
      <c r="E67" s="19"/>
      <c r="F67" s="20"/>
      <c r="G67" s="20"/>
      <c r="H67" s="8" t="str">
        <f t="shared" si="1"/>
        <v/>
      </c>
    </row>
    <row r="68" spans="1:8">
      <c r="A68" s="8" t="str">
        <f>IF(Products!A68="","",Products!A68)</f>
        <v/>
      </c>
      <c r="B68" s="8" t="str">
        <f>IF(Products!B68="","",Products!B68)</f>
        <v/>
      </c>
      <c r="C68" s="8" t="str">
        <f>IF(Products!F68="","",Products!F68)</f>
        <v/>
      </c>
      <c r="D68" s="8" t="str">
        <f>IF(A68="","",Products!M68)</f>
        <v/>
      </c>
      <c r="E68" s="19"/>
      <c r="F68" s="20"/>
      <c r="G68" s="20"/>
      <c r="H68" s="8" t="str">
        <f t="shared" ref="H68:H99" si="2">IF(G68="","",G68-D68)</f>
        <v/>
      </c>
    </row>
    <row r="69" spans="1:8">
      <c r="A69" s="8" t="str">
        <f>IF(Products!A69="","",Products!A69)</f>
        <v/>
      </c>
      <c r="B69" s="8" t="str">
        <f>IF(Products!B69="","",Products!B69)</f>
        <v/>
      </c>
      <c r="C69" s="8" t="str">
        <f>IF(Products!F69="","",Products!F69)</f>
        <v/>
      </c>
      <c r="D69" s="8" t="str">
        <f>IF(A69="","",Products!M69)</f>
        <v/>
      </c>
      <c r="E69" s="19"/>
      <c r="F69" s="20"/>
      <c r="G69" s="20"/>
      <c r="H69" s="8" t="str">
        <f t="shared" si="2"/>
        <v/>
      </c>
    </row>
    <row r="70" spans="1:8">
      <c r="A70" s="8" t="str">
        <f>IF(Products!A70="","",Products!A70)</f>
        <v/>
      </c>
      <c r="B70" s="8" t="str">
        <f>IF(Products!B70="","",Products!B70)</f>
        <v/>
      </c>
      <c r="C70" s="8" t="str">
        <f>IF(Products!F70="","",Products!F70)</f>
        <v/>
      </c>
      <c r="D70" s="8" t="str">
        <f>IF(A70="","",Products!M70)</f>
        <v/>
      </c>
      <c r="E70" s="19"/>
      <c r="F70" s="20"/>
      <c r="G70" s="20"/>
      <c r="H70" s="8" t="str">
        <f t="shared" si="2"/>
        <v/>
      </c>
    </row>
    <row r="71" spans="1:8">
      <c r="A71" s="8" t="str">
        <f>IF(Products!A71="","",Products!A71)</f>
        <v/>
      </c>
      <c r="B71" s="8" t="str">
        <f>IF(Products!B71="","",Products!B71)</f>
        <v/>
      </c>
      <c r="C71" s="8" t="str">
        <f>IF(Products!F71="","",Products!F71)</f>
        <v/>
      </c>
      <c r="D71" s="8" t="str">
        <f>IF(A71="","",Products!M71)</f>
        <v/>
      </c>
      <c r="E71" s="19"/>
      <c r="F71" s="20"/>
      <c r="G71" s="20"/>
      <c r="H71" s="8" t="str">
        <f t="shared" si="2"/>
        <v/>
      </c>
    </row>
    <row r="72" spans="1:8">
      <c r="A72" s="8" t="str">
        <f>IF(Products!A72="","",Products!A72)</f>
        <v/>
      </c>
      <c r="B72" s="8" t="str">
        <f>IF(Products!B72="","",Products!B72)</f>
        <v/>
      </c>
      <c r="C72" s="8" t="str">
        <f>IF(Products!F72="","",Products!F72)</f>
        <v/>
      </c>
      <c r="D72" s="8" t="str">
        <f>IF(A72="","",Products!M72)</f>
        <v/>
      </c>
      <c r="E72" s="19"/>
      <c r="F72" s="20"/>
      <c r="G72" s="20"/>
      <c r="H72" s="8" t="str">
        <f t="shared" si="2"/>
        <v/>
      </c>
    </row>
    <row r="73" spans="1:8">
      <c r="A73" s="8" t="str">
        <f>IF(Products!A73="","",Products!A73)</f>
        <v/>
      </c>
      <c r="B73" s="8" t="str">
        <f>IF(Products!B73="","",Products!B73)</f>
        <v/>
      </c>
      <c r="C73" s="8" t="str">
        <f>IF(Products!F73="","",Products!F73)</f>
        <v/>
      </c>
      <c r="D73" s="8" t="str">
        <f>IF(A73="","",Products!M73)</f>
        <v/>
      </c>
      <c r="E73" s="19"/>
      <c r="F73" s="20"/>
      <c r="G73" s="20"/>
      <c r="H73" s="8" t="str">
        <f t="shared" si="2"/>
        <v/>
      </c>
    </row>
    <row r="74" spans="1:8">
      <c r="A74" s="8" t="str">
        <f>IF(Products!A74="","",Products!A74)</f>
        <v/>
      </c>
      <c r="B74" s="8" t="str">
        <f>IF(Products!B74="","",Products!B74)</f>
        <v/>
      </c>
      <c r="C74" s="8" t="str">
        <f>IF(Products!F74="","",Products!F74)</f>
        <v/>
      </c>
      <c r="D74" s="8" t="str">
        <f>IF(A74="","",Products!M74)</f>
        <v/>
      </c>
      <c r="E74" s="19"/>
      <c r="F74" s="20"/>
      <c r="G74" s="20"/>
      <c r="H74" s="8" t="str">
        <f t="shared" si="2"/>
        <v/>
      </c>
    </row>
    <row r="75" spans="1:8">
      <c r="A75" s="8" t="str">
        <f>IF(Products!A75="","",Products!A75)</f>
        <v/>
      </c>
      <c r="B75" s="8" t="str">
        <f>IF(Products!B75="","",Products!B75)</f>
        <v/>
      </c>
      <c r="C75" s="8" t="str">
        <f>IF(Products!F75="","",Products!F75)</f>
        <v/>
      </c>
      <c r="D75" s="8" t="str">
        <f>IF(A75="","",Products!M75)</f>
        <v/>
      </c>
      <c r="E75" s="19"/>
      <c r="F75" s="20"/>
      <c r="G75" s="20"/>
      <c r="H75" s="8" t="str">
        <f t="shared" si="2"/>
        <v/>
      </c>
    </row>
    <row r="76" spans="1:8">
      <c r="A76" s="8" t="str">
        <f>IF(Products!A76="","",Products!A76)</f>
        <v/>
      </c>
      <c r="B76" s="8" t="str">
        <f>IF(Products!B76="","",Products!B76)</f>
        <v/>
      </c>
      <c r="C76" s="8" t="str">
        <f>IF(Products!F76="","",Products!F76)</f>
        <v/>
      </c>
      <c r="D76" s="8" t="str">
        <f>IF(A76="","",Products!M76)</f>
        <v/>
      </c>
      <c r="E76" s="19"/>
      <c r="F76" s="20"/>
      <c r="G76" s="20"/>
      <c r="H76" s="8" t="str">
        <f t="shared" si="2"/>
        <v/>
      </c>
    </row>
    <row r="77" spans="1:8">
      <c r="A77" s="8" t="str">
        <f>IF(Products!A77="","",Products!A77)</f>
        <v/>
      </c>
      <c r="B77" s="8" t="str">
        <f>IF(Products!B77="","",Products!B77)</f>
        <v/>
      </c>
      <c r="C77" s="8" t="str">
        <f>IF(Products!F77="","",Products!F77)</f>
        <v/>
      </c>
      <c r="D77" s="8" t="str">
        <f>IF(A77="","",Products!M77)</f>
        <v/>
      </c>
      <c r="E77" s="19"/>
      <c r="F77" s="20"/>
      <c r="G77" s="20"/>
      <c r="H77" s="8" t="str">
        <f t="shared" si="2"/>
        <v/>
      </c>
    </row>
    <row r="78" spans="1:8">
      <c r="A78" s="8" t="str">
        <f>IF(Products!A78="","",Products!A78)</f>
        <v/>
      </c>
      <c r="B78" s="8" t="str">
        <f>IF(Products!B78="","",Products!B78)</f>
        <v/>
      </c>
      <c r="C78" s="8" t="str">
        <f>IF(Products!F78="","",Products!F78)</f>
        <v/>
      </c>
      <c r="D78" s="8" t="str">
        <f>IF(A78="","",Products!M78)</f>
        <v/>
      </c>
      <c r="E78" s="19"/>
      <c r="F78" s="20"/>
      <c r="G78" s="20"/>
      <c r="H78" s="8" t="str">
        <f t="shared" si="2"/>
        <v/>
      </c>
    </row>
    <row r="79" spans="1:8">
      <c r="A79" s="8" t="str">
        <f>IF(Products!A79="","",Products!A79)</f>
        <v/>
      </c>
      <c r="B79" s="8" t="str">
        <f>IF(Products!B79="","",Products!B79)</f>
        <v/>
      </c>
      <c r="C79" s="8" t="str">
        <f>IF(Products!F79="","",Products!F79)</f>
        <v/>
      </c>
      <c r="D79" s="8" t="str">
        <f>IF(A79="","",Products!M79)</f>
        <v/>
      </c>
      <c r="E79" s="19"/>
      <c r="F79" s="20"/>
      <c r="G79" s="20"/>
      <c r="H79" s="8" t="str">
        <f t="shared" si="2"/>
        <v/>
      </c>
    </row>
    <row r="80" spans="1:8">
      <c r="A80" s="8" t="str">
        <f>IF(Products!A80="","",Products!A80)</f>
        <v/>
      </c>
      <c r="B80" s="8" t="str">
        <f>IF(Products!B80="","",Products!B80)</f>
        <v/>
      </c>
      <c r="C80" s="8" t="str">
        <f>IF(Products!F80="","",Products!F80)</f>
        <v/>
      </c>
      <c r="D80" s="8" t="str">
        <f>IF(A80="","",Products!M80)</f>
        <v/>
      </c>
      <c r="E80" s="19"/>
      <c r="F80" s="20"/>
      <c r="G80" s="20"/>
      <c r="H80" s="8" t="str">
        <f t="shared" si="2"/>
        <v/>
      </c>
    </row>
    <row r="81" spans="1:8">
      <c r="A81" s="8" t="str">
        <f>IF(Products!A81="","",Products!A81)</f>
        <v/>
      </c>
      <c r="B81" s="8" t="str">
        <f>IF(Products!B81="","",Products!B81)</f>
        <v/>
      </c>
      <c r="C81" s="8" t="str">
        <f>IF(Products!F81="","",Products!F81)</f>
        <v/>
      </c>
      <c r="D81" s="8" t="str">
        <f>IF(A81="","",Products!M81)</f>
        <v/>
      </c>
      <c r="E81" s="19"/>
      <c r="F81" s="20"/>
      <c r="G81" s="20"/>
      <c r="H81" s="8" t="str">
        <f t="shared" si="2"/>
        <v/>
      </c>
    </row>
    <row r="82" spans="1:8">
      <c r="A82" s="8" t="str">
        <f>IF(Products!A82="","",Products!A82)</f>
        <v/>
      </c>
      <c r="B82" s="8" t="str">
        <f>IF(Products!B82="","",Products!B82)</f>
        <v/>
      </c>
      <c r="C82" s="8" t="str">
        <f>IF(Products!F82="","",Products!F82)</f>
        <v/>
      </c>
      <c r="D82" s="8" t="str">
        <f>IF(A82="","",Products!M82)</f>
        <v/>
      </c>
      <c r="E82" s="19"/>
      <c r="F82" s="20"/>
      <c r="G82" s="20"/>
      <c r="H82" s="8" t="str">
        <f t="shared" si="2"/>
        <v/>
      </c>
    </row>
    <row r="83" spans="1:8">
      <c r="A83" s="8" t="str">
        <f>IF(Products!A83="","",Products!A83)</f>
        <v/>
      </c>
      <c r="B83" s="8" t="str">
        <f>IF(Products!B83="","",Products!B83)</f>
        <v/>
      </c>
      <c r="C83" s="8" t="str">
        <f>IF(Products!F83="","",Products!F83)</f>
        <v/>
      </c>
      <c r="D83" s="8" t="str">
        <f>IF(A83="","",Products!M83)</f>
        <v/>
      </c>
      <c r="E83" s="19"/>
      <c r="F83" s="20"/>
      <c r="G83" s="20"/>
      <c r="H83" s="8" t="str">
        <f t="shared" si="2"/>
        <v/>
      </c>
    </row>
    <row r="84" spans="1:8">
      <c r="A84" s="8" t="str">
        <f>IF(Products!A84="","",Products!A84)</f>
        <v/>
      </c>
      <c r="B84" s="8" t="str">
        <f>IF(Products!B84="","",Products!B84)</f>
        <v/>
      </c>
      <c r="C84" s="8" t="str">
        <f>IF(Products!F84="","",Products!F84)</f>
        <v/>
      </c>
      <c r="D84" s="8" t="str">
        <f>IF(A84="","",Products!M84)</f>
        <v/>
      </c>
      <c r="E84" s="19"/>
      <c r="F84" s="20"/>
      <c r="G84" s="20"/>
      <c r="H84" s="8" t="str">
        <f t="shared" si="2"/>
        <v/>
      </c>
    </row>
    <row r="85" spans="1:8">
      <c r="A85" s="8" t="str">
        <f>IF(Products!A85="","",Products!A85)</f>
        <v/>
      </c>
      <c r="B85" s="8" t="str">
        <f>IF(Products!B85="","",Products!B85)</f>
        <v/>
      </c>
      <c r="C85" s="8" t="str">
        <f>IF(Products!F85="","",Products!F85)</f>
        <v/>
      </c>
      <c r="D85" s="8" t="str">
        <f>IF(A85="","",Products!M85)</f>
        <v/>
      </c>
      <c r="E85" s="19"/>
      <c r="F85" s="20"/>
      <c r="G85" s="20"/>
      <c r="H85" s="8" t="str">
        <f t="shared" si="2"/>
        <v/>
      </c>
    </row>
    <row r="86" spans="1:8">
      <c r="A86" s="8" t="str">
        <f>IF(Products!A86="","",Products!A86)</f>
        <v/>
      </c>
      <c r="B86" s="8" t="str">
        <f>IF(Products!B86="","",Products!B86)</f>
        <v/>
      </c>
      <c r="C86" s="8" t="str">
        <f>IF(Products!F86="","",Products!F86)</f>
        <v/>
      </c>
      <c r="D86" s="8" t="str">
        <f>IF(A86="","",Products!M86)</f>
        <v/>
      </c>
      <c r="E86" s="19"/>
      <c r="F86" s="20"/>
      <c r="G86" s="20"/>
      <c r="H86" s="8" t="str">
        <f t="shared" si="2"/>
        <v/>
      </c>
    </row>
    <row r="87" spans="1:8">
      <c r="A87" s="8" t="str">
        <f>IF(Products!A87="","",Products!A87)</f>
        <v/>
      </c>
      <c r="B87" s="8" t="str">
        <f>IF(Products!B87="","",Products!B87)</f>
        <v/>
      </c>
      <c r="C87" s="8" t="str">
        <f>IF(Products!F87="","",Products!F87)</f>
        <v/>
      </c>
      <c r="D87" s="8" t="str">
        <f>IF(A87="","",Products!M87)</f>
        <v/>
      </c>
      <c r="E87" s="19"/>
      <c r="F87" s="20"/>
      <c r="G87" s="20"/>
      <c r="H87" s="8" t="str">
        <f t="shared" si="2"/>
        <v/>
      </c>
    </row>
    <row r="88" spans="1:8">
      <c r="A88" s="8" t="str">
        <f>IF(Products!A88="","",Products!A88)</f>
        <v/>
      </c>
      <c r="B88" s="8" t="str">
        <f>IF(Products!B88="","",Products!B88)</f>
        <v/>
      </c>
      <c r="C88" s="8" t="str">
        <f>IF(Products!F88="","",Products!F88)</f>
        <v/>
      </c>
      <c r="D88" s="8" t="str">
        <f>IF(A88="","",Products!M88)</f>
        <v/>
      </c>
      <c r="E88" s="19"/>
      <c r="F88" s="20"/>
      <c r="G88" s="20"/>
      <c r="H88" s="8" t="str">
        <f t="shared" si="2"/>
        <v/>
      </c>
    </row>
    <row r="89" spans="1:8">
      <c r="A89" s="8" t="str">
        <f>IF(Products!A89="","",Products!A89)</f>
        <v/>
      </c>
      <c r="B89" s="8" t="str">
        <f>IF(Products!B89="","",Products!B89)</f>
        <v/>
      </c>
      <c r="C89" s="8" t="str">
        <f>IF(Products!F89="","",Products!F89)</f>
        <v/>
      </c>
      <c r="D89" s="8" t="str">
        <f>IF(A89="","",Products!M89)</f>
        <v/>
      </c>
      <c r="E89" s="19"/>
      <c r="F89" s="20"/>
      <c r="G89" s="20"/>
      <c r="H89" s="8" t="str">
        <f t="shared" si="2"/>
        <v/>
      </c>
    </row>
    <row r="90" spans="1:8">
      <c r="A90" s="8" t="str">
        <f>IF(Products!A90="","",Products!A90)</f>
        <v/>
      </c>
      <c r="B90" s="8" t="str">
        <f>IF(Products!B90="","",Products!B90)</f>
        <v/>
      </c>
      <c r="C90" s="8" t="str">
        <f>IF(Products!F90="","",Products!F90)</f>
        <v/>
      </c>
      <c r="D90" s="8" t="str">
        <f>IF(A90="","",Products!M90)</f>
        <v/>
      </c>
      <c r="E90" s="19"/>
      <c r="F90" s="20"/>
      <c r="G90" s="20"/>
      <c r="H90" s="8" t="str">
        <f t="shared" si="2"/>
        <v/>
      </c>
    </row>
    <row r="91" spans="1:8">
      <c r="A91" s="8" t="str">
        <f>IF(Products!A91="","",Products!A91)</f>
        <v/>
      </c>
      <c r="B91" s="8" t="str">
        <f>IF(Products!B91="","",Products!B91)</f>
        <v/>
      </c>
      <c r="C91" s="8" t="str">
        <f>IF(Products!F91="","",Products!F91)</f>
        <v/>
      </c>
      <c r="D91" s="8" t="str">
        <f>IF(A91="","",Products!M91)</f>
        <v/>
      </c>
      <c r="E91" s="19"/>
      <c r="F91" s="20"/>
      <c r="G91" s="20"/>
      <c r="H91" s="8" t="str">
        <f t="shared" si="2"/>
        <v/>
      </c>
    </row>
    <row r="92" spans="1:8">
      <c r="A92" s="8" t="str">
        <f>IF(Products!A92="","",Products!A92)</f>
        <v/>
      </c>
      <c r="B92" s="8" t="str">
        <f>IF(Products!B92="","",Products!B92)</f>
        <v/>
      </c>
      <c r="C92" s="8" t="str">
        <f>IF(Products!F92="","",Products!F92)</f>
        <v/>
      </c>
      <c r="D92" s="8" t="str">
        <f>IF(A92="","",Products!M92)</f>
        <v/>
      </c>
      <c r="E92" s="19"/>
      <c r="F92" s="20"/>
      <c r="G92" s="20"/>
      <c r="H92" s="8" t="str">
        <f t="shared" si="2"/>
        <v/>
      </c>
    </row>
    <row r="93" spans="1:8">
      <c r="A93" s="8" t="str">
        <f>IF(Products!A93="","",Products!A93)</f>
        <v/>
      </c>
      <c r="B93" s="8" t="str">
        <f>IF(Products!B93="","",Products!B93)</f>
        <v/>
      </c>
      <c r="C93" s="8" t="str">
        <f>IF(Products!F93="","",Products!F93)</f>
        <v/>
      </c>
      <c r="D93" s="8" t="str">
        <f>IF(A93="","",Products!M93)</f>
        <v/>
      </c>
      <c r="E93" s="19"/>
      <c r="F93" s="20"/>
      <c r="G93" s="20"/>
      <c r="H93" s="8" t="str">
        <f t="shared" si="2"/>
        <v/>
      </c>
    </row>
    <row r="94" spans="1:8">
      <c r="A94" s="8" t="str">
        <f>IF(Products!A94="","",Products!A94)</f>
        <v/>
      </c>
      <c r="B94" s="8" t="str">
        <f>IF(Products!B94="","",Products!B94)</f>
        <v/>
      </c>
      <c r="C94" s="8" t="str">
        <f>IF(Products!F94="","",Products!F94)</f>
        <v/>
      </c>
      <c r="D94" s="8" t="str">
        <f>IF(A94="","",Products!M94)</f>
        <v/>
      </c>
      <c r="E94" s="19"/>
      <c r="F94" s="20"/>
      <c r="G94" s="20"/>
      <c r="H94" s="8" t="str">
        <f t="shared" si="2"/>
        <v/>
      </c>
    </row>
    <row r="95" spans="1:8">
      <c r="A95" s="8" t="str">
        <f>IF(Products!A95="","",Products!A95)</f>
        <v/>
      </c>
      <c r="B95" s="8" t="str">
        <f>IF(Products!B95="","",Products!B95)</f>
        <v/>
      </c>
      <c r="C95" s="8" t="str">
        <f>IF(Products!F95="","",Products!F95)</f>
        <v/>
      </c>
      <c r="D95" s="8" t="str">
        <f>IF(A95="","",Products!M95)</f>
        <v/>
      </c>
      <c r="E95" s="19"/>
      <c r="F95" s="20"/>
      <c r="G95" s="20"/>
      <c r="H95" s="8" t="str">
        <f t="shared" si="2"/>
        <v/>
      </c>
    </row>
    <row r="96" spans="1:8">
      <c r="A96" s="8" t="str">
        <f>IF(Products!A96="","",Products!A96)</f>
        <v/>
      </c>
      <c r="B96" s="8" t="str">
        <f>IF(Products!B96="","",Products!B96)</f>
        <v/>
      </c>
      <c r="C96" s="8" t="str">
        <f>IF(Products!F96="","",Products!F96)</f>
        <v/>
      </c>
      <c r="D96" s="8" t="str">
        <f>IF(A96="","",Products!M96)</f>
        <v/>
      </c>
      <c r="E96" s="19"/>
      <c r="F96" s="20"/>
      <c r="G96" s="20"/>
      <c r="H96" s="8" t="str">
        <f t="shared" si="2"/>
        <v/>
      </c>
    </row>
    <row r="97" spans="1:8">
      <c r="A97" s="8" t="str">
        <f>IF(Products!A97="","",Products!A97)</f>
        <v/>
      </c>
      <c r="B97" s="8" t="str">
        <f>IF(Products!B97="","",Products!B97)</f>
        <v/>
      </c>
      <c r="C97" s="8" t="str">
        <f>IF(Products!F97="","",Products!F97)</f>
        <v/>
      </c>
      <c r="D97" s="8" t="str">
        <f>IF(A97="","",Products!M97)</f>
        <v/>
      </c>
      <c r="E97" s="19"/>
      <c r="F97" s="20"/>
      <c r="G97" s="20"/>
      <c r="H97" s="8" t="str">
        <f t="shared" si="2"/>
        <v/>
      </c>
    </row>
    <row r="98" spans="1:8">
      <c r="A98" s="8" t="str">
        <f>IF(Products!A98="","",Products!A98)</f>
        <v/>
      </c>
      <c r="B98" s="8" t="str">
        <f>IF(Products!B98="","",Products!B98)</f>
        <v/>
      </c>
      <c r="C98" s="8" t="str">
        <f>IF(Products!F98="","",Products!F98)</f>
        <v/>
      </c>
      <c r="D98" s="8" t="str">
        <f>IF(A98="","",Products!M98)</f>
        <v/>
      </c>
      <c r="E98" s="19"/>
      <c r="F98" s="20"/>
      <c r="G98" s="20"/>
      <c r="H98" s="8" t="str">
        <f t="shared" si="2"/>
        <v/>
      </c>
    </row>
    <row r="99" spans="1:8">
      <c r="A99" s="8" t="str">
        <f>IF(Products!A99="","",Products!A99)</f>
        <v/>
      </c>
      <c r="B99" s="8" t="str">
        <f>IF(Products!B99="","",Products!B99)</f>
        <v/>
      </c>
      <c r="C99" s="8" t="str">
        <f>IF(Products!F99="","",Products!F99)</f>
        <v/>
      </c>
      <c r="D99" s="8" t="str">
        <f>IF(A99="","",Products!M99)</f>
        <v/>
      </c>
      <c r="E99" s="19"/>
      <c r="F99" s="20"/>
      <c r="G99" s="20"/>
      <c r="H99" s="8" t="str">
        <f t="shared" si="2"/>
        <v/>
      </c>
    </row>
    <row r="100" spans="1:8">
      <c r="A100" s="8" t="str">
        <f>IF(Products!A100="","",Products!A100)</f>
        <v/>
      </c>
      <c r="B100" s="8" t="str">
        <f>IF(Products!B100="","",Products!B100)</f>
        <v/>
      </c>
      <c r="C100" s="8" t="str">
        <f>IF(Products!F100="","",Products!F100)</f>
        <v/>
      </c>
      <c r="D100" s="8" t="str">
        <f>IF(A100="","",Products!M100)</f>
        <v/>
      </c>
      <c r="E100" s="19"/>
      <c r="F100" s="20"/>
      <c r="G100" s="20"/>
      <c r="H100" s="8" t="str">
        <f t="shared" ref="H100:H103" si="3">IF(G100="","",G100-D100)</f>
        <v/>
      </c>
    </row>
    <row r="101" spans="1:8">
      <c r="A101" s="8" t="str">
        <f>IF(Products!A101="","",Products!A101)</f>
        <v/>
      </c>
      <c r="B101" s="8" t="str">
        <f>IF(Products!B101="","",Products!B101)</f>
        <v/>
      </c>
      <c r="C101" s="8" t="str">
        <f>IF(Products!F101="","",Products!F101)</f>
        <v/>
      </c>
      <c r="D101" s="8" t="str">
        <f>IF(A101="","",Products!M101)</f>
        <v/>
      </c>
      <c r="E101" s="19"/>
      <c r="F101" s="20"/>
      <c r="G101" s="20"/>
      <c r="H101" s="8" t="str">
        <f t="shared" si="3"/>
        <v/>
      </c>
    </row>
    <row r="102" spans="1:8">
      <c r="A102" s="8" t="str">
        <f>IF(Products!A102="","",Products!A102)</f>
        <v/>
      </c>
      <c r="B102" s="8" t="str">
        <f>IF(Products!B102="","",Products!B102)</f>
        <v/>
      </c>
      <c r="C102" s="8" t="str">
        <f>IF(Products!F102="","",Products!F102)</f>
        <v/>
      </c>
      <c r="D102" s="8" t="str">
        <f>IF(A102="","",Products!M102)</f>
        <v/>
      </c>
      <c r="E102" s="19"/>
      <c r="F102" s="20"/>
      <c r="G102" s="20"/>
      <c r="H102" s="8" t="str">
        <f t="shared" si="3"/>
        <v/>
      </c>
    </row>
    <row r="103" spans="1:8">
      <c r="A103" s="8" t="str">
        <f>IF(Products!A103="","",Products!A103)</f>
        <v/>
      </c>
      <c r="B103" s="8" t="str">
        <f>IF(Products!B103="","",Products!B103)</f>
        <v/>
      </c>
      <c r="C103" s="8" t="str">
        <f>IF(Products!F103="","",Products!F103)</f>
        <v/>
      </c>
      <c r="D103" s="8" t="str">
        <f>IF(A103="","",Products!M103)</f>
        <v/>
      </c>
      <c r="E103" s="19"/>
      <c r="F103" s="20"/>
      <c r="G103" s="20"/>
      <c r="H103" s="8" t="str">
        <f t="shared" si="3"/>
        <v/>
      </c>
    </row>
  </sheetData>
  <sheetProtection algorithmName="SHA-512" hashValue="chuUy20A3cnOaRmksWsuqti15T1PaTLp6+J/tV0otEeu4zQc00kP8AE3XpbNNV0G0reSJ+fPGL97OvwIZ3gBFQ==" saltValue="3UFH0Q05AAluSDz47QZ6Nw==" spinCount="100000" sheet="1" objects="1" scenarios="1"/>
  <mergeCells count="1">
    <mergeCell ref="A1:H1"/>
  </mergeCells>
  <conditionalFormatting sqref="H4:H103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B17" sqref="B17"/>
    </sheetView>
  </sheetViews>
  <sheetFormatPr defaultRowHeight="13.8"/>
  <cols>
    <col min="1" max="6" width="22" customWidth="1"/>
  </cols>
  <sheetData>
    <row r="1" spans="1:6" ht="24" customHeight="1">
      <c r="A1" s="22" t="s">
        <v>0</v>
      </c>
      <c r="B1" s="22"/>
      <c r="C1" s="22"/>
      <c r="D1" s="22"/>
      <c r="E1" s="22"/>
      <c r="F1" s="22"/>
    </row>
    <row r="3" spans="1:6" ht="20.8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31</v>
      </c>
      <c r="B8" t="s">
        <v>32</v>
      </c>
      <c r="D8" t="s">
        <v>33</v>
      </c>
      <c r="E8" t="s">
        <v>34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sqref="A1:XFD1"/>
    </sheetView>
  </sheetViews>
  <sheetFormatPr defaultRowHeight="13.8"/>
  <cols>
    <col min="1" max="7" width="20" customWidth="1"/>
    <col min="8" max="8" width="30" customWidth="1"/>
  </cols>
  <sheetData>
    <row r="1" spans="1:8" ht="24" customHeight="1">
      <c r="A1" s="22" t="s">
        <v>35</v>
      </c>
      <c r="B1" s="22"/>
      <c r="C1" s="22"/>
      <c r="D1" s="22"/>
      <c r="E1" s="22"/>
      <c r="F1" s="22"/>
      <c r="G1" s="22"/>
      <c r="H1" s="22"/>
    </row>
    <row r="3" spans="1:8" ht="20.85" customHeight="1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</row>
    <row r="4" spans="1:8">
      <c r="A4" t="s">
        <v>44</v>
      </c>
      <c r="B4" t="s">
        <v>8</v>
      </c>
      <c r="C4" t="s">
        <v>45</v>
      </c>
      <c r="D4" t="s">
        <v>46</v>
      </c>
      <c r="E4" s="5" t="s">
        <v>172</v>
      </c>
      <c r="F4" t="s">
        <v>47</v>
      </c>
      <c r="G4" t="s">
        <v>48</v>
      </c>
      <c r="H4" t="s">
        <v>49</v>
      </c>
    </row>
    <row r="5" spans="1:8">
      <c r="A5" t="s">
        <v>50</v>
      </c>
      <c r="B5" t="s">
        <v>14</v>
      </c>
      <c r="C5" t="s">
        <v>51</v>
      </c>
      <c r="D5" t="s">
        <v>52</v>
      </c>
      <c r="E5" s="5" t="s">
        <v>173</v>
      </c>
      <c r="F5" t="s">
        <v>47</v>
      </c>
      <c r="G5" t="s">
        <v>48</v>
      </c>
      <c r="H5" t="s">
        <v>53</v>
      </c>
    </row>
    <row r="6" spans="1:8">
      <c r="A6" t="s">
        <v>54</v>
      </c>
      <c r="B6" t="s">
        <v>20</v>
      </c>
      <c r="C6" t="s">
        <v>55</v>
      </c>
      <c r="D6" t="s">
        <v>56</v>
      </c>
      <c r="E6" s="5" t="s">
        <v>174</v>
      </c>
      <c r="F6" t="s">
        <v>57</v>
      </c>
      <c r="G6" t="s">
        <v>48</v>
      </c>
      <c r="H6" t="s">
        <v>58</v>
      </c>
    </row>
    <row r="7" spans="1:8">
      <c r="A7" t="s">
        <v>59</v>
      </c>
      <c r="B7" t="s">
        <v>26</v>
      </c>
      <c r="C7" t="s">
        <v>60</v>
      </c>
      <c r="D7" t="s">
        <v>61</v>
      </c>
      <c r="E7" s="5" t="s">
        <v>175</v>
      </c>
      <c r="F7" t="s">
        <v>47</v>
      </c>
      <c r="G7" t="s">
        <v>48</v>
      </c>
      <c r="H7" t="s">
        <v>62</v>
      </c>
    </row>
    <row r="8" spans="1:8">
      <c r="A8" t="s">
        <v>63</v>
      </c>
      <c r="B8" t="s">
        <v>32</v>
      </c>
      <c r="C8" t="s">
        <v>64</v>
      </c>
      <c r="D8" t="s">
        <v>65</v>
      </c>
      <c r="E8" s="5" t="s">
        <v>176</v>
      </c>
      <c r="F8" t="s">
        <v>47</v>
      </c>
      <c r="G8" t="s">
        <v>48</v>
      </c>
      <c r="H8" t="s">
        <v>66</v>
      </c>
    </row>
  </sheetData>
  <mergeCells count="1">
    <mergeCell ref="A1:H1"/>
  </mergeCells>
  <dataValidations count="1">
    <dataValidation type="list" sqref="G4:G100" xr:uid="{00000000-0002-0000-0100-000000000000}">
      <formula1>"Yes,No"</formula1>
    </dataValidation>
  </dataValidations>
  <hyperlinks>
    <hyperlink ref="E4" r:id="rId1" xr:uid="{16918D90-7D83-4AE4-95A7-8D2C7DBE6F41}"/>
    <hyperlink ref="E5" r:id="rId2" xr:uid="{3EF5CF29-80D1-47F6-9BDD-3911657BFD53}"/>
    <hyperlink ref="E6" r:id="rId3" xr:uid="{8E4CA4E3-A921-4984-87E2-6B9543B1E960}"/>
    <hyperlink ref="E7" r:id="rId4" xr:uid="{77228104-CFA0-495F-9B92-681E749DBCC7}"/>
    <hyperlink ref="E8" r:id="rId5" xr:uid="{591735E5-1EAC-4F56-B40D-8770D4B9B1CF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Dashboard</vt:lpstr>
      <vt:lpstr>Products</vt:lpstr>
      <vt:lpstr>Transactions</vt:lpstr>
      <vt:lpstr>Purchase Orders</vt:lpstr>
      <vt:lpstr>Inventory Count</vt:lpstr>
      <vt:lpstr>Lists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Laurie Muller</cp:lastModifiedBy>
  <dcterms:modified xsi:type="dcterms:W3CDTF">2026-08-02T20:47:19Z</dcterms:modified>
</cp:coreProperties>
</file>